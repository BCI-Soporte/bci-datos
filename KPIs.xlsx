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batizci-my.sharepoint.com/personal/soporteoperativo_bci_mx/Documents/"/>
    </mc:Choice>
  </mc:AlternateContent>
  <xr:revisionPtr revIDLastSave="0" documentId="8_{DDAE7D5F-319B-4ABD-A579-2FE9C2B17F60}" xr6:coauthVersionLast="47" xr6:coauthVersionMax="47" xr10:uidLastSave="{00000000-0000-0000-0000-000000000000}"/>
  <bookViews>
    <workbookView xWindow="0" yWindow="600" windowWidth="28800" windowHeight="15780" firstSheet="4" xr2:uid="{D41C87DC-28A2-D24A-B6A7-3496D0695978}"/>
  </bookViews>
  <sheets>
    <sheet name="Customer P1" sheetId="3" r:id="rId1"/>
    <sheet name="Customer P2" sheetId="4" r:id="rId2"/>
    <sheet name="Almacén" sheetId="1" r:id="rId3"/>
    <sheet name="Compras" sheetId="2" r:id="rId4"/>
    <sheet name="FACTURACIÓN X CLIENTE" sheetId="5" r:id="rId5"/>
  </sheets>
  <definedNames>
    <definedName name="_xlnm._FilterDatabase" localSheetId="4" hidden="1">'FACTURACIÓN X CLIENTE'!$A$1:$L$1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5" l="1"/>
  <c r="B3" i="5"/>
  <c r="B4" i="5"/>
  <c r="B6" i="5"/>
  <c r="B5" i="5"/>
  <c r="R28" i="4"/>
  <c r="R27" i="4"/>
  <c r="H24" i="1"/>
  <c r="G24" i="1"/>
  <c r="R25" i="4"/>
  <c r="I25" i="4"/>
  <c r="H25" i="4"/>
  <c r="I24" i="4"/>
  <c r="H24" i="4"/>
  <c r="I22" i="3"/>
  <c r="H22" i="4"/>
  <c r="I22" i="4"/>
  <c r="R22" i="4"/>
  <c r="I21" i="3"/>
  <c r="H21" i="3"/>
  <c r="I20" i="3"/>
  <c r="H20" i="3"/>
  <c r="R21" i="4"/>
  <c r="I21" i="4"/>
  <c r="H21" i="4"/>
  <c r="R20" i="4"/>
  <c r="I20" i="4"/>
  <c r="H20" i="4"/>
  <c r="I17" i="4"/>
  <c r="H17" i="4"/>
  <c r="I16" i="4"/>
  <c r="H16" i="4"/>
  <c r="A6" i="5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I15" i="4"/>
  <c r="H15" i="4"/>
  <c r="I14" i="4"/>
  <c r="H14" i="4"/>
  <c r="I6" i="4"/>
  <c r="I7" i="4"/>
  <c r="I4" i="4"/>
  <c r="H4" i="4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H3" i="3"/>
  <c r="I3" i="3"/>
  <c r="H4" i="3"/>
  <c r="I4" i="3"/>
  <c r="H5" i="3"/>
  <c r="I5" i="3"/>
  <c r="H6" i="3"/>
  <c r="I6" i="3"/>
  <c r="H7" i="3"/>
  <c r="I7" i="3"/>
  <c r="H8" i="3"/>
  <c r="I8" i="3"/>
  <c r="H9" i="3"/>
  <c r="I9" i="3"/>
  <c r="H10" i="3"/>
  <c r="I10" i="3"/>
  <c r="H11" i="3"/>
  <c r="I11" i="3"/>
  <c r="H12" i="3"/>
  <c r="I12" i="3"/>
  <c r="H13" i="3"/>
  <c r="I13" i="3"/>
  <c r="H14" i="3"/>
  <c r="I14" i="3"/>
  <c r="H15" i="3"/>
  <c r="I15" i="3"/>
  <c r="H16" i="3"/>
  <c r="I16" i="3"/>
  <c r="H17" i="3"/>
  <c r="I17" i="3"/>
  <c r="H18" i="3"/>
  <c r="I18" i="3"/>
  <c r="H19" i="3"/>
  <c r="I19" i="3"/>
  <c r="H22" i="3"/>
  <c r="H23" i="3"/>
  <c r="I23" i="3"/>
  <c r="H24" i="3"/>
  <c r="I24" i="3"/>
  <c r="H25" i="3"/>
  <c r="I25" i="3"/>
  <c r="H26" i="3"/>
  <c r="I26" i="3"/>
  <c r="H27" i="3"/>
  <c r="I27" i="3"/>
  <c r="H28" i="3"/>
  <c r="I28" i="3"/>
  <c r="H29" i="3"/>
  <c r="I29" i="3"/>
  <c r="H30" i="3"/>
  <c r="I30" i="3"/>
  <c r="H31" i="3"/>
  <c r="I31" i="3"/>
  <c r="H32" i="3"/>
  <c r="I32" i="3"/>
  <c r="H33" i="3"/>
  <c r="I33" i="3"/>
  <c r="H34" i="3"/>
  <c r="I34" i="3"/>
  <c r="H35" i="3"/>
  <c r="I35" i="3"/>
  <c r="H36" i="3"/>
  <c r="I36" i="3"/>
  <c r="H37" i="3"/>
  <c r="I37" i="3"/>
  <c r="H38" i="3"/>
  <c r="I38" i="3"/>
  <c r="H39" i="3"/>
  <c r="I39" i="3"/>
  <c r="H40" i="3"/>
  <c r="I40" i="3"/>
  <c r="H41" i="3"/>
  <c r="I41" i="3"/>
  <c r="H42" i="3"/>
  <c r="I42" i="3"/>
  <c r="H43" i="3"/>
  <c r="I43" i="3"/>
  <c r="H44" i="3"/>
  <c r="I44" i="3"/>
  <c r="H45" i="3"/>
  <c r="I45" i="3"/>
  <c r="H46" i="3"/>
  <c r="I46" i="3"/>
  <c r="H47" i="3"/>
  <c r="I47" i="3"/>
  <c r="H48" i="3"/>
  <c r="I48" i="3"/>
  <c r="H49" i="3"/>
  <c r="I49" i="3"/>
  <c r="H50" i="3"/>
  <c r="I50" i="3"/>
  <c r="H51" i="3"/>
  <c r="I51" i="3"/>
  <c r="H52" i="3"/>
  <c r="I52" i="3"/>
  <c r="H53" i="3"/>
  <c r="I53" i="3"/>
  <c r="H54" i="3"/>
  <c r="I54" i="3"/>
  <c r="H55" i="3"/>
  <c r="I55" i="3"/>
  <c r="H56" i="3"/>
  <c r="I56" i="3"/>
  <c r="H57" i="3"/>
  <c r="I57" i="3"/>
  <c r="H58" i="3"/>
  <c r="I58" i="3"/>
  <c r="H59" i="3"/>
  <c r="I59" i="3"/>
  <c r="H60" i="3"/>
  <c r="I60" i="3"/>
  <c r="H61" i="3"/>
  <c r="I61" i="3"/>
  <c r="H62" i="3"/>
  <c r="I62" i="3"/>
  <c r="H63" i="3"/>
  <c r="I63" i="3"/>
  <c r="H64" i="3"/>
  <c r="I64" i="3"/>
  <c r="H65" i="3"/>
  <c r="I65" i="3"/>
  <c r="H66" i="3"/>
  <c r="I66" i="3"/>
  <c r="H67" i="3"/>
  <c r="I67" i="3"/>
  <c r="H68" i="3"/>
  <c r="I68" i="3"/>
  <c r="H69" i="3"/>
  <c r="I69" i="3"/>
  <c r="H70" i="3"/>
  <c r="I70" i="3"/>
  <c r="H71" i="3"/>
  <c r="I71" i="3"/>
  <c r="H72" i="3"/>
  <c r="I72" i="3"/>
  <c r="H73" i="3"/>
  <c r="I73" i="3"/>
  <c r="H74" i="3"/>
  <c r="I74" i="3"/>
  <c r="H75" i="3"/>
  <c r="I75" i="3"/>
  <c r="H76" i="3"/>
  <c r="I76" i="3"/>
  <c r="H77" i="3"/>
  <c r="I77" i="3"/>
  <c r="H78" i="3"/>
  <c r="I78" i="3"/>
  <c r="H79" i="3"/>
  <c r="I79" i="3"/>
  <c r="H80" i="3"/>
  <c r="I80" i="3"/>
  <c r="H81" i="3"/>
  <c r="I81" i="3"/>
  <c r="H82" i="3"/>
  <c r="I82" i="3"/>
  <c r="H83" i="3"/>
  <c r="I83" i="3"/>
  <c r="H84" i="3"/>
  <c r="I84" i="3"/>
  <c r="H85" i="3"/>
  <c r="I85" i="3"/>
  <c r="H86" i="3"/>
  <c r="I86" i="3"/>
  <c r="H87" i="3"/>
  <c r="I87" i="3"/>
  <c r="H88" i="3"/>
  <c r="I88" i="3"/>
  <c r="H89" i="3"/>
  <c r="I89" i="3"/>
  <c r="H90" i="3"/>
  <c r="I90" i="3"/>
  <c r="H91" i="3"/>
  <c r="I91" i="3"/>
  <c r="H92" i="3"/>
  <c r="I92" i="3"/>
  <c r="H93" i="3"/>
  <c r="I93" i="3"/>
  <c r="H94" i="3"/>
  <c r="I94" i="3"/>
  <c r="H95" i="3"/>
  <c r="I95" i="3"/>
  <c r="H96" i="3"/>
  <c r="I96" i="3"/>
  <c r="H97" i="3"/>
  <c r="I97" i="3"/>
  <c r="H98" i="3"/>
  <c r="I98" i="3"/>
  <c r="H99" i="3"/>
  <c r="I99" i="3"/>
  <c r="H100" i="3"/>
  <c r="I100" i="3"/>
  <c r="H101" i="3"/>
  <c r="I101" i="3"/>
  <c r="H102" i="3"/>
  <c r="I102" i="3"/>
  <c r="H103" i="3"/>
  <c r="I103" i="3"/>
  <c r="H104" i="3"/>
  <c r="I104" i="3"/>
  <c r="H105" i="3"/>
  <c r="I105" i="3"/>
  <c r="H106" i="3"/>
  <c r="I106" i="3"/>
  <c r="H107" i="3"/>
  <c r="I107" i="3"/>
  <c r="H108" i="3"/>
  <c r="I108" i="3"/>
  <c r="H109" i="3"/>
  <c r="I109" i="3"/>
  <c r="H110" i="3"/>
  <c r="I110" i="3"/>
  <c r="H111" i="3"/>
  <c r="I111" i="3"/>
  <c r="H112" i="3"/>
  <c r="I112" i="3"/>
  <c r="H113" i="3"/>
  <c r="I113" i="3"/>
  <c r="H114" i="3"/>
  <c r="I114" i="3"/>
  <c r="H115" i="3"/>
  <c r="I115" i="3"/>
  <c r="H116" i="3"/>
  <c r="I116" i="3"/>
  <c r="H117" i="3"/>
  <c r="I117" i="3"/>
  <c r="H118" i="3"/>
  <c r="I118" i="3"/>
  <c r="H119" i="3"/>
  <c r="I119" i="3"/>
  <c r="H120" i="3"/>
  <c r="I120" i="3"/>
  <c r="H121" i="3"/>
  <c r="I121" i="3"/>
  <c r="H122" i="3"/>
  <c r="I122" i="3"/>
  <c r="H123" i="3"/>
  <c r="I123" i="3"/>
  <c r="H124" i="3"/>
  <c r="I124" i="3"/>
  <c r="H125" i="3"/>
  <c r="I125" i="3"/>
  <c r="H126" i="3"/>
  <c r="I126" i="3"/>
  <c r="H127" i="3"/>
  <c r="I127" i="3"/>
  <c r="H128" i="3"/>
  <c r="I128" i="3"/>
  <c r="H129" i="3"/>
  <c r="I129" i="3"/>
  <c r="H130" i="3"/>
  <c r="I130" i="3"/>
  <c r="I3" i="4"/>
  <c r="I5" i="4"/>
  <c r="I8" i="4"/>
  <c r="I9" i="4"/>
  <c r="I10" i="4"/>
  <c r="I12" i="4"/>
  <c r="I13" i="4"/>
  <c r="I18" i="4"/>
  <c r="I19" i="4"/>
  <c r="I23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3" i="4"/>
  <c r="R24" i="4"/>
  <c r="R26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H3" i="4"/>
  <c r="H5" i="4"/>
  <c r="H6" i="4"/>
  <c r="H7" i="4"/>
  <c r="H8" i="4"/>
  <c r="H9" i="4"/>
  <c r="H10" i="4"/>
  <c r="H12" i="4"/>
  <c r="H13" i="4"/>
  <c r="H18" i="4"/>
  <c r="H19" i="4"/>
  <c r="H23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G4" i="1"/>
  <c r="H4" i="1"/>
  <c r="G5" i="1"/>
  <c r="H5" i="1"/>
  <c r="G6" i="1"/>
  <c r="H6" i="1"/>
  <c r="G7" i="1"/>
  <c r="H7" i="1"/>
  <c r="G8" i="1"/>
  <c r="G9" i="1"/>
  <c r="G10" i="1"/>
  <c r="G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G122" i="1"/>
  <c r="H122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C130" i="4"/>
  <c r="B130" i="4"/>
  <c r="C129" i="4"/>
  <c r="B129" i="4"/>
  <c r="C128" i="4"/>
  <c r="B128" i="4"/>
  <c r="C127" i="4"/>
  <c r="B127" i="4"/>
  <c r="C126" i="4"/>
  <c r="B126" i="4"/>
  <c r="C125" i="4"/>
  <c r="B125" i="4"/>
  <c r="C124" i="4"/>
  <c r="B124" i="4"/>
  <c r="C123" i="4"/>
  <c r="B123" i="4"/>
  <c r="C122" i="4"/>
  <c r="B122" i="4"/>
  <c r="C121" i="4"/>
  <c r="B121" i="4"/>
  <c r="C120" i="4"/>
  <c r="B120" i="4"/>
  <c r="C119" i="4"/>
  <c r="B119" i="4"/>
  <c r="C118" i="4"/>
  <c r="B118" i="4"/>
  <c r="C117" i="4"/>
  <c r="B117" i="4"/>
  <c r="C116" i="4"/>
  <c r="B116" i="4"/>
  <c r="C115" i="4"/>
  <c r="B115" i="4"/>
  <c r="C114" i="4"/>
  <c r="B114" i="4"/>
  <c r="C113" i="4"/>
  <c r="B113" i="4"/>
  <c r="C112" i="4"/>
  <c r="B112" i="4"/>
  <c r="C111" i="4"/>
  <c r="B111" i="4"/>
  <c r="C110" i="4"/>
  <c r="B110" i="4"/>
  <c r="C109" i="4"/>
  <c r="B109" i="4"/>
  <c r="C108" i="4"/>
  <c r="B108" i="4"/>
  <c r="C107" i="4"/>
  <c r="B107" i="4"/>
  <c r="C106" i="4"/>
  <c r="B106" i="4"/>
  <c r="C105" i="4"/>
  <c r="B105" i="4"/>
  <c r="C104" i="4"/>
  <c r="B104" i="4"/>
  <c r="C103" i="4"/>
  <c r="B103" i="4"/>
  <c r="C102" i="4"/>
  <c r="B102" i="4"/>
  <c r="C101" i="4"/>
  <c r="B101" i="4"/>
  <c r="C100" i="4"/>
  <c r="B100" i="4"/>
  <c r="C99" i="4"/>
  <c r="B99" i="4"/>
  <c r="C98" i="4"/>
  <c r="B98" i="4"/>
  <c r="C97" i="4"/>
  <c r="B97" i="4"/>
  <c r="C96" i="4"/>
  <c r="B96" i="4"/>
  <c r="C95" i="4"/>
  <c r="B95" i="4"/>
  <c r="C94" i="4"/>
  <c r="B94" i="4"/>
  <c r="C93" i="4"/>
  <c r="B93" i="4"/>
  <c r="C92" i="4"/>
  <c r="B92" i="4"/>
  <c r="C91" i="4"/>
  <c r="B91" i="4"/>
  <c r="C90" i="4"/>
  <c r="B90" i="4"/>
  <c r="C89" i="4"/>
  <c r="B89" i="4"/>
  <c r="C88" i="4"/>
  <c r="B88" i="4"/>
  <c r="C87" i="4"/>
  <c r="B87" i="4"/>
  <c r="C86" i="4"/>
  <c r="B86" i="4"/>
  <c r="C85" i="4"/>
  <c r="B85" i="4"/>
  <c r="C84" i="4"/>
  <c r="B84" i="4"/>
  <c r="C83" i="4"/>
  <c r="B83" i="4"/>
  <c r="C82" i="4"/>
  <c r="B82" i="4"/>
  <c r="C81" i="4"/>
  <c r="B81" i="4"/>
  <c r="C80" i="4"/>
  <c r="B80" i="4"/>
  <c r="C79" i="4"/>
  <c r="B79" i="4"/>
  <c r="C78" i="4"/>
  <c r="B78" i="4"/>
  <c r="C77" i="4"/>
  <c r="B77" i="4"/>
  <c r="C76" i="4"/>
  <c r="B76" i="4"/>
  <c r="C75" i="4"/>
  <c r="B75" i="4"/>
  <c r="C74" i="4"/>
  <c r="B74" i="4"/>
  <c r="C73" i="4"/>
  <c r="B73" i="4"/>
  <c r="C72" i="4"/>
  <c r="B72" i="4"/>
  <c r="C71" i="4"/>
  <c r="B71" i="4"/>
  <c r="C70" i="4"/>
  <c r="B70" i="4"/>
  <c r="C69" i="4"/>
  <c r="B69" i="4"/>
  <c r="C68" i="4"/>
  <c r="B68" i="4"/>
  <c r="C67" i="4"/>
  <c r="B67" i="4"/>
  <c r="C66" i="4"/>
  <c r="B66" i="4"/>
  <c r="C65" i="4"/>
  <c r="B65" i="4"/>
  <c r="C64" i="4"/>
  <c r="B64" i="4"/>
  <c r="C63" i="4"/>
  <c r="B63" i="4"/>
  <c r="C62" i="4"/>
  <c r="B62" i="4"/>
  <c r="C61" i="4"/>
  <c r="B61" i="4"/>
  <c r="C60" i="4"/>
  <c r="B60" i="4"/>
  <c r="C59" i="4"/>
  <c r="B59" i="4"/>
  <c r="C58" i="4"/>
  <c r="B58" i="4"/>
  <c r="C57" i="4"/>
  <c r="B57" i="4"/>
  <c r="C56" i="4"/>
  <c r="B56" i="4"/>
  <c r="C55" i="4"/>
  <c r="B55" i="4"/>
  <c r="C54" i="4"/>
  <c r="B54" i="4"/>
  <c r="C53" i="4"/>
  <c r="B53" i="4"/>
  <c r="C52" i="4"/>
  <c r="B52" i="4"/>
  <c r="C51" i="4"/>
  <c r="B51" i="4"/>
  <c r="C50" i="4"/>
  <c r="B50" i="4"/>
  <c r="C49" i="4"/>
  <c r="B49" i="4"/>
  <c r="C48" i="4"/>
  <c r="B48" i="4"/>
  <c r="C47" i="4"/>
  <c r="B47" i="4"/>
  <c r="C46" i="4"/>
  <c r="B46" i="4"/>
  <c r="C45" i="4"/>
  <c r="B45" i="4"/>
  <c r="C44" i="4"/>
  <c r="B44" i="4"/>
  <c r="C43" i="4"/>
  <c r="B43" i="4"/>
  <c r="C42" i="4"/>
  <c r="B42" i="4"/>
  <c r="C41" i="4"/>
  <c r="B41" i="4"/>
  <c r="C40" i="4"/>
  <c r="B40" i="4"/>
  <c r="C39" i="4"/>
  <c r="B39" i="4"/>
  <c r="C38" i="4"/>
  <c r="B38" i="4"/>
  <c r="C37" i="4"/>
  <c r="B37" i="4"/>
  <c r="C36" i="4"/>
  <c r="B36" i="4"/>
  <c r="C35" i="4"/>
  <c r="B35" i="4"/>
  <c r="C34" i="4"/>
  <c r="B34" i="4"/>
  <c r="C33" i="4"/>
  <c r="B33" i="4"/>
  <c r="C32" i="4"/>
  <c r="B32" i="4"/>
  <c r="C31" i="4"/>
  <c r="B31" i="4"/>
  <c r="C30" i="4"/>
  <c r="B30" i="4"/>
  <c r="C29" i="4"/>
  <c r="B29" i="4"/>
  <c r="C28" i="4"/>
  <c r="B28" i="4"/>
  <c r="C27" i="4"/>
  <c r="B27" i="4"/>
  <c r="C26" i="4"/>
  <c r="B26" i="4"/>
  <c r="C25" i="4"/>
  <c r="B25" i="4"/>
  <c r="C24" i="4"/>
  <c r="B24" i="4"/>
  <c r="C23" i="4"/>
  <c r="B23" i="4"/>
  <c r="C22" i="4"/>
  <c r="B22" i="4"/>
  <c r="C21" i="4"/>
  <c r="B21" i="4"/>
  <c r="C20" i="4"/>
  <c r="B20" i="4"/>
  <c r="C19" i="4"/>
  <c r="B19" i="4"/>
  <c r="C18" i="4"/>
  <c r="B18" i="4"/>
  <c r="C17" i="4"/>
  <c r="B17" i="4"/>
  <c r="C16" i="4"/>
  <c r="B16" i="4"/>
  <c r="C15" i="4"/>
  <c r="B15" i="4"/>
  <c r="C14" i="4"/>
  <c r="B14" i="4"/>
  <c r="C13" i="4"/>
  <c r="B13" i="4"/>
  <c r="C12" i="4"/>
  <c r="B12" i="4"/>
  <c r="C11" i="4"/>
  <c r="B11" i="4"/>
  <c r="C10" i="4"/>
  <c r="B10" i="4"/>
  <c r="C9" i="4"/>
  <c r="B9" i="4"/>
  <c r="C8" i="4"/>
  <c r="B8" i="4"/>
  <c r="C7" i="4"/>
  <c r="B7" i="4"/>
  <c r="C6" i="4"/>
  <c r="B6" i="4"/>
  <c r="C5" i="4"/>
  <c r="B5" i="4"/>
  <c r="C4" i="4"/>
  <c r="B4" i="4"/>
  <c r="C3" i="4"/>
  <c r="B3" i="4"/>
  <c r="C130" i="3"/>
  <c r="B130" i="3"/>
  <c r="C129" i="3"/>
  <c r="B129" i="3"/>
  <c r="C128" i="3"/>
  <c r="B128" i="3"/>
  <c r="C127" i="3"/>
  <c r="B127" i="3"/>
  <c r="C126" i="3"/>
  <c r="B126" i="3"/>
  <c r="C125" i="3"/>
  <c r="B125" i="3"/>
  <c r="C124" i="3"/>
  <c r="B124" i="3"/>
  <c r="C123" i="3"/>
  <c r="B123" i="3"/>
  <c r="C122" i="3"/>
  <c r="B122" i="3"/>
  <c r="C121" i="3"/>
  <c r="B121" i="3"/>
  <c r="C120" i="3"/>
  <c r="B120" i="3"/>
  <c r="C119" i="3"/>
  <c r="B119" i="3"/>
  <c r="C118" i="3"/>
  <c r="B118" i="3"/>
  <c r="C117" i="3"/>
  <c r="B117" i="3"/>
  <c r="C116" i="3"/>
  <c r="B116" i="3"/>
  <c r="C115" i="3"/>
  <c r="B115" i="3"/>
  <c r="C114" i="3"/>
  <c r="B114" i="3"/>
  <c r="C113" i="3"/>
  <c r="B113" i="3"/>
  <c r="C112" i="3"/>
  <c r="B112" i="3"/>
  <c r="C111" i="3"/>
  <c r="B111" i="3"/>
  <c r="C110" i="3"/>
  <c r="B110" i="3"/>
  <c r="C109" i="3"/>
  <c r="B109" i="3"/>
  <c r="C108" i="3"/>
  <c r="B108" i="3"/>
  <c r="C107" i="3"/>
  <c r="B107" i="3"/>
  <c r="C106" i="3"/>
  <c r="B106" i="3"/>
  <c r="C105" i="3"/>
  <c r="B105" i="3"/>
  <c r="C104" i="3"/>
  <c r="B104" i="3"/>
  <c r="C103" i="3"/>
  <c r="B103" i="3"/>
  <c r="C102" i="3"/>
  <c r="B102" i="3"/>
  <c r="C101" i="3"/>
  <c r="B101" i="3"/>
  <c r="C100" i="3"/>
  <c r="B100" i="3"/>
  <c r="C99" i="3"/>
  <c r="B99" i="3"/>
  <c r="C98" i="3"/>
  <c r="B98" i="3"/>
  <c r="C97" i="3"/>
  <c r="B97" i="3"/>
  <c r="C96" i="3"/>
  <c r="B96" i="3"/>
  <c r="C95" i="3"/>
  <c r="B95" i="3"/>
  <c r="C94" i="3"/>
  <c r="B94" i="3"/>
  <c r="C93" i="3"/>
  <c r="B93" i="3"/>
  <c r="C92" i="3"/>
  <c r="B92" i="3"/>
  <c r="C91" i="3"/>
  <c r="B91" i="3"/>
  <c r="C90" i="3"/>
  <c r="B90" i="3"/>
  <c r="C89" i="3"/>
  <c r="B89" i="3"/>
  <c r="C88" i="3"/>
  <c r="B88" i="3"/>
  <c r="C87" i="3"/>
  <c r="B87" i="3"/>
  <c r="C86" i="3"/>
  <c r="B86" i="3"/>
  <c r="C85" i="3"/>
  <c r="B85" i="3"/>
  <c r="C84" i="3"/>
  <c r="B84" i="3"/>
  <c r="C83" i="3"/>
  <c r="B83" i="3"/>
  <c r="C82" i="3"/>
  <c r="B82" i="3"/>
  <c r="C81" i="3"/>
  <c r="B81" i="3"/>
  <c r="C80" i="3"/>
  <c r="B80" i="3"/>
  <c r="C79" i="3"/>
  <c r="B79" i="3"/>
  <c r="C78" i="3"/>
  <c r="B78" i="3"/>
  <c r="C77" i="3"/>
  <c r="B77" i="3"/>
  <c r="C76" i="3"/>
  <c r="B76" i="3"/>
  <c r="C75" i="3"/>
  <c r="B75" i="3"/>
  <c r="C74" i="3"/>
  <c r="B74" i="3"/>
  <c r="C73" i="3"/>
  <c r="B73" i="3"/>
  <c r="C72" i="3"/>
  <c r="B72" i="3"/>
  <c r="C71" i="3"/>
  <c r="B71" i="3"/>
  <c r="C70" i="3"/>
  <c r="B70" i="3"/>
  <c r="C69" i="3"/>
  <c r="B69" i="3"/>
  <c r="C68" i="3"/>
  <c r="B68" i="3"/>
  <c r="C67" i="3"/>
  <c r="B67" i="3"/>
  <c r="C66" i="3"/>
  <c r="B66" i="3"/>
  <c r="C65" i="3"/>
  <c r="B65" i="3"/>
  <c r="C64" i="3"/>
  <c r="B64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C56" i="3"/>
  <c r="B56" i="3"/>
  <c r="C55" i="3"/>
  <c r="B55" i="3"/>
  <c r="C54" i="3"/>
  <c r="B54" i="3"/>
  <c r="C53" i="3"/>
  <c r="B53" i="3"/>
  <c r="C52" i="3"/>
  <c r="B5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C10" i="3"/>
  <c r="B10" i="3"/>
  <c r="C9" i="3"/>
  <c r="B9" i="3"/>
  <c r="C8" i="3"/>
  <c r="B8" i="3"/>
  <c r="C7" i="3"/>
  <c r="B7" i="3"/>
  <c r="C6" i="3"/>
  <c r="B6" i="3"/>
  <c r="C5" i="3"/>
  <c r="B5" i="3"/>
  <c r="C4" i="3"/>
  <c r="B4" i="3"/>
  <c r="C3" i="3"/>
  <c r="B3" i="3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B89" i="1"/>
  <c r="C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B102" i="1"/>
  <c r="C102" i="1"/>
  <c r="B103" i="1"/>
  <c r="C103" i="1"/>
  <c r="B104" i="1"/>
  <c r="C104" i="1"/>
  <c r="B105" i="1"/>
  <c r="C105" i="1"/>
  <c r="B106" i="1"/>
  <c r="C106" i="1"/>
  <c r="B107" i="1"/>
  <c r="C107" i="1"/>
  <c r="B108" i="1"/>
  <c r="C108" i="1"/>
  <c r="B109" i="1"/>
  <c r="C109" i="1"/>
  <c r="B110" i="1"/>
  <c r="C110" i="1"/>
  <c r="B111" i="1"/>
  <c r="C111" i="1"/>
  <c r="B112" i="1"/>
  <c r="C112" i="1"/>
  <c r="B113" i="1"/>
  <c r="C113" i="1"/>
  <c r="B114" i="1"/>
  <c r="C114" i="1"/>
  <c r="B115" i="1"/>
  <c r="C115" i="1"/>
  <c r="B116" i="1"/>
  <c r="C116" i="1"/>
  <c r="B117" i="1"/>
  <c r="C117" i="1"/>
  <c r="B118" i="1"/>
  <c r="C118" i="1"/>
  <c r="B119" i="1"/>
  <c r="C119" i="1"/>
  <c r="B120" i="1"/>
  <c r="C120" i="1"/>
  <c r="B121" i="1"/>
  <c r="C121" i="1"/>
  <c r="B122" i="1"/>
  <c r="C122" i="1"/>
  <c r="B123" i="1"/>
  <c r="C123" i="1"/>
  <c r="B124" i="1"/>
  <c r="C124" i="1"/>
  <c r="B125" i="1"/>
  <c r="C125" i="1"/>
  <c r="B126" i="1"/>
  <c r="C126" i="1"/>
  <c r="B127" i="1"/>
  <c r="C127" i="1"/>
  <c r="B128" i="1"/>
  <c r="C128" i="1"/>
  <c r="B129" i="1"/>
  <c r="C129" i="1"/>
  <c r="B130" i="1"/>
  <c r="C130" i="1"/>
  <c r="O3" i="1"/>
  <c r="H3" i="1"/>
  <c r="C6" i="1"/>
  <c r="B6" i="1"/>
  <c r="C5" i="1"/>
  <c r="B5" i="1"/>
  <c r="C4" i="1"/>
  <c r="B4" i="1"/>
  <c r="C3" i="1"/>
  <c r="B3" i="1"/>
  <c r="B5" i="2"/>
  <c r="C5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29" i="2"/>
  <c r="C29" i="2"/>
  <c r="B30" i="2"/>
  <c r="C30" i="2"/>
  <c r="B31" i="2"/>
  <c r="C31" i="2"/>
  <c r="B32" i="2"/>
  <c r="C32" i="2"/>
  <c r="B33" i="2"/>
  <c r="C33" i="2"/>
  <c r="B34" i="2"/>
  <c r="C34" i="2"/>
  <c r="B35" i="2"/>
  <c r="C35" i="2"/>
  <c r="B36" i="2"/>
  <c r="C36" i="2"/>
  <c r="B37" i="2"/>
  <c r="C37" i="2"/>
  <c r="B38" i="2"/>
  <c r="C38" i="2"/>
  <c r="B39" i="2"/>
  <c r="C39" i="2"/>
  <c r="B40" i="2"/>
  <c r="C40" i="2"/>
  <c r="B41" i="2"/>
  <c r="C41" i="2"/>
  <c r="B42" i="2"/>
  <c r="C42" i="2"/>
  <c r="B43" i="2"/>
  <c r="C43" i="2"/>
  <c r="B44" i="2"/>
  <c r="C44" i="2"/>
  <c r="B45" i="2"/>
  <c r="C45" i="2"/>
  <c r="B46" i="2"/>
  <c r="C46" i="2"/>
  <c r="B47" i="2"/>
  <c r="C47" i="2"/>
  <c r="B48" i="2"/>
  <c r="C48" i="2"/>
  <c r="B49" i="2"/>
  <c r="C49" i="2"/>
  <c r="B50" i="2"/>
  <c r="C50" i="2"/>
  <c r="B51" i="2"/>
  <c r="C51" i="2"/>
  <c r="B52" i="2"/>
  <c r="C52" i="2"/>
  <c r="B53" i="2"/>
  <c r="C53" i="2"/>
  <c r="B54" i="2"/>
  <c r="C54" i="2"/>
  <c r="B55" i="2"/>
  <c r="C55" i="2"/>
  <c r="B56" i="2"/>
  <c r="C56" i="2"/>
  <c r="B57" i="2"/>
  <c r="C57" i="2"/>
  <c r="B58" i="2"/>
  <c r="C58" i="2"/>
  <c r="B59" i="2"/>
  <c r="C59" i="2"/>
  <c r="B60" i="2"/>
  <c r="C60" i="2"/>
  <c r="B61" i="2"/>
  <c r="C61" i="2"/>
  <c r="B62" i="2"/>
  <c r="C62" i="2"/>
  <c r="B63" i="2"/>
  <c r="C63" i="2"/>
  <c r="B64" i="2"/>
  <c r="C64" i="2"/>
  <c r="B65" i="2"/>
  <c r="C65" i="2"/>
  <c r="B66" i="2"/>
  <c r="C66" i="2"/>
  <c r="B67" i="2"/>
  <c r="C67" i="2"/>
  <c r="B68" i="2"/>
  <c r="C68" i="2"/>
  <c r="B69" i="2"/>
  <c r="C69" i="2"/>
  <c r="B70" i="2"/>
  <c r="C70" i="2"/>
  <c r="B71" i="2"/>
  <c r="C71" i="2"/>
  <c r="B72" i="2"/>
  <c r="C72" i="2"/>
  <c r="B73" i="2"/>
  <c r="C73" i="2"/>
  <c r="B74" i="2"/>
  <c r="C74" i="2"/>
  <c r="B75" i="2"/>
  <c r="C75" i="2"/>
  <c r="B76" i="2"/>
  <c r="C76" i="2"/>
  <c r="B77" i="2"/>
  <c r="C77" i="2"/>
  <c r="B78" i="2"/>
  <c r="C78" i="2"/>
  <c r="B79" i="2"/>
  <c r="C79" i="2"/>
  <c r="B80" i="2"/>
  <c r="C80" i="2"/>
  <c r="B81" i="2"/>
  <c r="C81" i="2"/>
  <c r="B82" i="2"/>
  <c r="C82" i="2"/>
  <c r="B83" i="2"/>
  <c r="C83" i="2"/>
  <c r="B84" i="2"/>
  <c r="C84" i="2"/>
  <c r="B85" i="2"/>
  <c r="C85" i="2"/>
  <c r="B86" i="2"/>
  <c r="C86" i="2"/>
  <c r="B87" i="2"/>
  <c r="C87" i="2"/>
  <c r="B88" i="2"/>
  <c r="C88" i="2"/>
  <c r="B89" i="2"/>
  <c r="C89" i="2"/>
  <c r="B90" i="2"/>
  <c r="C90" i="2"/>
  <c r="B91" i="2"/>
  <c r="C91" i="2"/>
  <c r="B92" i="2"/>
  <c r="C92" i="2"/>
  <c r="B93" i="2"/>
  <c r="C93" i="2"/>
  <c r="B94" i="2"/>
  <c r="C94" i="2"/>
  <c r="B95" i="2"/>
  <c r="C95" i="2"/>
  <c r="B96" i="2"/>
  <c r="C96" i="2"/>
  <c r="B97" i="2"/>
  <c r="C97" i="2"/>
  <c r="B98" i="2"/>
  <c r="C98" i="2"/>
  <c r="B99" i="2"/>
  <c r="C99" i="2"/>
  <c r="B100" i="2"/>
  <c r="C100" i="2"/>
  <c r="B101" i="2"/>
  <c r="C101" i="2"/>
  <c r="B102" i="2"/>
  <c r="C102" i="2"/>
  <c r="B103" i="2"/>
  <c r="C103" i="2"/>
  <c r="B104" i="2"/>
  <c r="C104" i="2"/>
  <c r="B105" i="2"/>
  <c r="C105" i="2"/>
  <c r="B106" i="2"/>
  <c r="C106" i="2"/>
  <c r="B107" i="2"/>
  <c r="C107" i="2"/>
  <c r="B108" i="2"/>
  <c r="C108" i="2"/>
  <c r="B109" i="2"/>
  <c r="C109" i="2"/>
  <c r="B110" i="2"/>
  <c r="C110" i="2"/>
  <c r="B111" i="2"/>
  <c r="C111" i="2"/>
  <c r="B112" i="2"/>
  <c r="C112" i="2"/>
  <c r="B113" i="2"/>
  <c r="C113" i="2"/>
  <c r="B114" i="2"/>
  <c r="C114" i="2"/>
  <c r="B115" i="2"/>
  <c r="C115" i="2"/>
  <c r="B116" i="2"/>
  <c r="C116" i="2"/>
  <c r="B117" i="2"/>
  <c r="C117" i="2"/>
  <c r="B118" i="2"/>
  <c r="C118" i="2"/>
  <c r="B119" i="2"/>
  <c r="C119" i="2"/>
  <c r="B120" i="2"/>
  <c r="C120" i="2"/>
  <c r="B121" i="2"/>
  <c r="C121" i="2"/>
  <c r="B122" i="2"/>
  <c r="C122" i="2"/>
  <c r="B123" i="2"/>
  <c r="C123" i="2"/>
  <c r="B124" i="2"/>
  <c r="C124" i="2"/>
  <c r="B125" i="2"/>
  <c r="C125" i="2"/>
  <c r="B126" i="2"/>
  <c r="C126" i="2"/>
  <c r="B127" i="2"/>
  <c r="C127" i="2"/>
  <c r="B128" i="2"/>
  <c r="C128" i="2"/>
  <c r="B129" i="2"/>
  <c r="C129" i="2"/>
  <c r="B130" i="2"/>
  <c r="C130" i="2"/>
  <c r="B131" i="2"/>
  <c r="C131" i="2"/>
  <c r="B4" i="2"/>
  <c r="C4" i="2"/>
  <c r="G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Garcia</author>
    <author>Daniela Baltierrez</author>
  </authors>
  <commentList>
    <comment ref="J19" authorId="0" shapeId="0" xr:uid="{AE4DC0FB-4BB8-4498-9C7D-F0DF7564B4EA}">
      <text>
        <r>
          <rPr>
            <sz val="12"/>
            <color theme="1"/>
            <rFont val="Aptos Narrow"/>
            <family val="2"/>
            <scheme val="minor"/>
          </rPr>
          <t>Carlos Garcia:
2 Proveedor
8 On time</t>
        </r>
      </text>
    </comment>
    <comment ref="J20" authorId="0" shapeId="0" xr:uid="{DEFE21E5-69C0-4642-A77A-52BC2EE4AA15}">
      <text>
        <r>
          <rPr>
            <sz val="12"/>
            <color theme="1"/>
            <rFont val="Aptos Narrow"/>
            <family val="2"/>
            <scheme val="minor"/>
          </rPr>
          <t>Carlos Garcia:
2 Proveedor
8 On time</t>
        </r>
      </text>
    </comment>
    <comment ref="J21" authorId="0" shapeId="0" xr:uid="{8E887527-B043-409A-B1FB-BA8FB3D48AFE}">
      <text>
        <r>
          <rPr>
            <sz val="12"/>
            <color theme="1"/>
            <rFont val="Aptos Narrow"/>
            <family val="2"/>
            <scheme val="minor"/>
          </rPr>
          <t>Carlos Garcia:
2 Proveedor
8 On time</t>
        </r>
      </text>
    </comment>
    <comment ref="J23" authorId="0" shapeId="0" xr:uid="{6E7F1F5C-8789-4D1E-BBFF-95E81881FA1C}">
      <text>
        <r>
          <rPr>
            <sz val="12"/>
            <color theme="1"/>
            <rFont val="Aptos Narrow"/>
            <family val="2"/>
            <scheme val="minor"/>
          </rPr>
          <t>Carlos Garcia:
18 On Time</t>
        </r>
      </text>
    </comment>
    <comment ref="J24" authorId="0" shapeId="0" xr:uid="{196BE005-64C8-4A97-88AC-58536CEBA8AA}">
      <text>
        <r>
          <rPr>
            <sz val="12"/>
            <color theme="1"/>
            <rFont val="Aptos Narrow"/>
            <family val="2"/>
            <scheme val="minor"/>
          </rPr>
          <t>Carlos Garcia:
18 On Time</t>
        </r>
      </text>
    </comment>
    <comment ref="J29" authorId="0" shapeId="0" xr:uid="{E199D41B-F38A-4074-9D2E-30A50A562266}">
      <text>
        <r>
          <rPr>
            <sz val="12"/>
            <color theme="1"/>
            <rFont val="Aptos Narrow"/>
            <family val="2"/>
            <scheme val="minor"/>
          </rPr>
          <t>Carlos Garcia:
2 Delay - 6k</t>
        </r>
      </text>
    </comment>
    <comment ref="K31" authorId="1" shapeId="0" xr:uid="{FEA780F9-ACD7-4BAC-BF58-AC3283B664E8}">
      <text>
        <r>
          <rPr>
            <sz val="12"/>
            <color theme="1"/>
            <rFont val="Aptos Narrow"/>
            <family val="2"/>
            <scheme val="minor"/>
          </rPr>
          <t xml:space="preserve">Daniela Baltierrez:
4 PO pendientes de ajustes hyster
10 PO en tiempo 
</t>
        </r>
      </text>
    </comment>
    <comment ref="M31" authorId="1" shapeId="0" xr:uid="{E46818B0-04F8-4361-A1C9-3E1823E3AEFE}">
      <text>
        <r>
          <rPr>
            <sz val="12"/>
            <color theme="1"/>
            <rFont val="Aptos Narrow"/>
            <family val="2"/>
            <scheme val="minor"/>
          </rPr>
          <t xml:space="preserve">Daniela Baltierrez:
3 rem en archivo notas para revision 
2 rem pendiente de precio en intelisis </t>
        </r>
      </text>
    </comment>
    <comment ref="O31" authorId="1" shapeId="0" xr:uid="{D7490AFC-82C7-4F3E-B7A1-CFE563F87D50}">
      <text>
        <r>
          <rPr>
            <sz val="12"/>
            <color theme="1"/>
            <rFont val="Aptos Narrow"/>
            <family val="2"/>
            <scheme val="minor"/>
          </rPr>
          <t xml:space="preserve">Daniela Baltierrez:
2 rem pendientes para solicitar factura cuando coloque precio en sistema 
</t>
        </r>
      </text>
    </comment>
    <comment ref="J32" authorId="1" shapeId="0" xr:uid="{53F8A223-5793-4CD0-B821-F6941107EDF7}">
      <text>
        <r>
          <rPr>
            <sz val="12"/>
            <color theme="1"/>
            <rFont val="Aptos Narrow"/>
            <family val="2"/>
            <scheme val="minor"/>
          </rPr>
          <t xml:space="preserve">Daniela Baltierrez:
2 REM: 1 mes  
1 REM: 20 días 
2 REM: 14 días 
3 REM: 13 días 
4 REM: 8 días 
4 REM: 3 días 
3 REM: 2 días 
</t>
        </r>
      </text>
    </comment>
  </commentList>
</comments>
</file>

<file path=xl/sharedStrings.xml><?xml version="1.0" encoding="utf-8"?>
<sst xmlns="http://schemas.openxmlformats.org/spreadsheetml/2006/main" count="341" uniqueCount="202">
  <si>
    <t>Mes</t>
  </si>
  <si>
    <t>Semana</t>
  </si>
  <si>
    <t>Fecha</t>
  </si>
  <si>
    <t>Planta</t>
  </si>
  <si>
    <t>Facturas OK</t>
  </si>
  <si>
    <t>Monto Acumulado Mes</t>
  </si>
  <si>
    <t>Facturas Pdtes</t>
  </si>
  <si>
    <t>Valor USD</t>
  </si>
  <si>
    <t>Cliente</t>
  </si>
  <si>
    <t>Cliente  $</t>
  </si>
  <si>
    <t>Finanzas</t>
  </si>
  <si>
    <t>Finanzas $</t>
  </si>
  <si>
    <t>Customer</t>
  </si>
  <si>
    <t>Customer $</t>
  </si>
  <si>
    <t>Embarques Programados</t>
  </si>
  <si>
    <t>Embarques Realizados</t>
  </si>
  <si>
    <t>Monto</t>
  </si>
  <si>
    <t>Crítico 1</t>
  </si>
  <si>
    <t>Crítico 2</t>
  </si>
  <si>
    <t>Crítico 3</t>
  </si>
  <si>
    <t>Crítico 4</t>
  </si>
  <si>
    <t>Crítico 5</t>
  </si>
  <si>
    <t xml:space="preserve">Liberación de facturas cierre de semana </t>
  </si>
  <si>
    <t xml:space="preserve">Programación prioirdades hyster </t>
  </si>
  <si>
    <t xml:space="preserve">Entrega de material imperial </t>
  </si>
  <si>
    <t xml:space="preserve">Programación fin de semana </t>
  </si>
  <si>
    <t xml:space="preserve">Solicitud de material imperial </t>
  </si>
  <si>
    <t xml:space="preserve">Programar Heyang </t>
  </si>
  <si>
    <t>Desviación Hyster / Pintura</t>
  </si>
  <si>
    <t xml:space="preserve">Embarque carritos camacho </t>
  </si>
  <si>
    <t>Piezas tectron y liberacion Iribotic</t>
  </si>
  <si>
    <t xml:space="preserve">Facturas pendientes para cierre de mes </t>
  </si>
  <si>
    <t xml:space="preserve">Embarque tectron </t>
  </si>
  <si>
    <t>Prioridades hyster 611 HTW</t>
  </si>
  <si>
    <t xml:space="preserve">PO Heyang np pendiente </t>
  </si>
  <si>
    <r>
      <rPr>
        <sz val="12"/>
        <color rgb="FF000000"/>
        <rFont val="Aptos Narrow"/>
        <scheme val="minor"/>
      </rPr>
      <t xml:space="preserve">POs pendiente </t>
    </r>
    <r>
      <rPr>
        <b/>
        <sz val="12"/>
        <color rgb="FF000000"/>
        <rFont val="Aptos Narrow"/>
        <scheme val="minor"/>
      </rPr>
      <t>heyang</t>
    </r>
    <r>
      <rPr>
        <sz val="12"/>
        <color rgb="FF000000"/>
        <rFont val="Aptos Narrow"/>
        <scheme val="minor"/>
      </rPr>
      <t xml:space="preserve"> para embarque</t>
    </r>
  </si>
  <si>
    <t xml:space="preserve">Programar irobotic 5 pm </t>
  </si>
  <si>
    <t xml:space="preserve">Plan de fin de semana </t>
  </si>
  <si>
    <t>programar IROBOTIC</t>
  </si>
  <si>
    <t xml:space="preserve">Solicitar facturas a finanzas </t>
  </si>
  <si>
    <t xml:space="preserve">Realizar pedidos de POs que llegaron </t>
  </si>
  <si>
    <t>Mercury no llegó a su embarque</t>
  </si>
  <si>
    <t xml:space="preserve">Enviar correo de PO con ajustes por error </t>
  </si>
  <si>
    <t>Embarque Mercury</t>
  </si>
  <si>
    <t>Mejorar archivo y tenerlo al 100%</t>
  </si>
  <si>
    <t>Videos grabar pendiente</t>
  </si>
  <si>
    <t>Revisar archivo KPI</t>
  </si>
  <si>
    <t>Embarque ZF</t>
  </si>
  <si>
    <t xml:space="preserve">Hacer pedidos Hyster para facturar </t>
  </si>
  <si>
    <t>Avance videos</t>
  </si>
  <si>
    <t>RFQ Mercury</t>
  </si>
  <si>
    <t xml:space="preserve">Grabar videos </t>
  </si>
  <si>
    <t xml:space="preserve">Enviar correo de ajustes a hyster </t>
  </si>
  <si>
    <t xml:space="preserve">Fin de semana </t>
  </si>
  <si>
    <t xml:space="preserve">Terminar los videos (3) </t>
  </si>
  <si>
    <t xml:space="preserve">enviar correo de estatus de ajustes PO hyster </t>
  </si>
  <si>
    <t xml:space="preserve">embarque cliente araceli </t>
  </si>
  <si>
    <t>Consolidar facturas vs Agosto</t>
  </si>
  <si>
    <t xml:space="preserve">Recolectar material en Heyang </t>
  </si>
  <si>
    <t xml:space="preserve">4 POs pendientes de ajustes hyster </t>
  </si>
  <si>
    <t xml:space="preserve">Cargar en pre-factura remisiones </t>
  </si>
  <si>
    <t xml:space="preserve">Correo obed revision material rechazo </t>
  </si>
  <si>
    <t xml:space="preserve">revisar mercury rfq con yadira </t>
  </si>
  <si>
    <t xml:space="preserve">embarque kimsu pend </t>
  </si>
  <si>
    <t xml:space="preserve">Cliente </t>
  </si>
  <si>
    <t>Cliente $</t>
  </si>
  <si>
    <t xml:space="preserve">solicitud de placa a gasa para corte </t>
  </si>
  <si>
    <t>entrega de material de aceronic</t>
  </si>
  <si>
    <t xml:space="preserve">solicitud de placa para cortes hyster septiembre </t>
  </si>
  <si>
    <t xml:space="preserve">identificar material pte de embarques </t>
  </si>
  <si>
    <t xml:space="preserve">generar asn y envio de material skyjack </t>
  </si>
  <si>
    <t>Programar unidad para embarque skyjack</t>
  </si>
  <si>
    <t xml:space="preserve">Solicitar tarimas metalicas hyster </t>
  </si>
  <si>
    <t>Solicitar coroplast para channels</t>
  </si>
  <si>
    <t xml:space="preserve">corte de laton </t>
  </si>
  <si>
    <t xml:space="preserve">solicitar unidad skyjack </t>
  </si>
  <si>
    <t xml:space="preserve">solicidar CBD actualizado moldem </t>
  </si>
  <si>
    <t xml:space="preserve">tolva programacion </t>
  </si>
  <si>
    <t xml:space="preserve">actualizacion fc skyjack </t>
  </si>
  <si>
    <t>Tolva validacion y seguimiento</t>
  </si>
  <si>
    <t>armado material i robotic</t>
  </si>
  <si>
    <t xml:space="preserve">Solicitud placa skyjack </t>
  </si>
  <si>
    <t>estatus CBD</t>
  </si>
  <si>
    <t xml:space="preserve">Bulkhead envio </t>
  </si>
  <si>
    <t>confirmacion costo con ing channels</t>
  </si>
  <si>
    <t xml:space="preserve">prioridad 596 embarque </t>
  </si>
  <si>
    <t>Recolección Channels Hyster</t>
  </si>
  <si>
    <t>Flete Kimsu</t>
  </si>
  <si>
    <t>Junta fin de semana</t>
  </si>
  <si>
    <t>embarque tolva hablar con cliente</t>
  </si>
  <si>
    <t xml:space="preserve">CBD estratus </t>
  </si>
  <si>
    <t xml:space="preserve">kimsu plan de produccion </t>
  </si>
  <si>
    <t xml:space="preserve">Tarimas de metal </t>
  </si>
  <si>
    <t xml:space="preserve">Entrega de tolva </t>
  </si>
  <si>
    <t>PROGRAMACION DE TERMINALES GAZA</t>
  </si>
  <si>
    <t>ENTERGA BULKHEAD HYSTER</t>
  </si>
  <si>
    <t xml:space="preserve">JUNTA FIN DE SEMANA </t>
  </si>
  <si>
    <t xml:space="preserve">ESTATUS KIMSU </t>
  </si>
  <si>
    <t xml:space="preserve">videos entrega final </t>
  </si>
  <si>
    <t>ENTREGA DE TERMINALES GAZA</t>
  </si>
  <si>
    <t xml:space="preserve">Seguimiento racks Kimsu </t>
  </si>
  <si>
    <t xml:space="preserve">Programacion Heyang </t>
  </si>
  <si>
    <t xml:space="preserve">Recoleccion tolva </t>
  </si>
  <si>
    <t xml:space="preserve">Validacion costo racks </t>
  </si>
  <si>
    <t>costo granalla envio de correo a hyster</t>
  </si>
  <si>
    <t xml:space="preserve">kimsu cambio de costo y facturacion </t>
  </si>
  <si>
    <t xml:space="preserve">heyang pedido cliente </t>
  </si>
  <si>
    <t xml:space="preserve">programacion con edwin </t>
  </si>
  <si>
    <t>On Hand</t>
  </si>
  <si>
    <t>Inventario</t>
  </si>
  <si>
    <t>%</t>
  </si>
  <si>
    <t>Stockouts</t>
  </si>
  <si>
    <t>Valor Inventario</t>
  </si>
  <si>
    <t>Proveedores</t>
  </si>
  <si>
    <t>Valor</t>
  </si>
  <si>
    <t>OC Pendientes</t>
  </si>
  <si>
    <t>Delay</t>
  </si>
  <si>
    <t xml:space="preserve">% OC </t>
  </si>
  <si>
    <t>Crítico</t>
  </si>
  <si>
    <t>Inventario, completar archivos, videos procesos</t>
  </si>
  <si>
    <t>Plan de acción para conteo total de almacén planta 2, almacén de pintura y planta 1</t>
  </si>
  <si>
    <t>Plan de acción para conteo total de almacén planta 2, almacén de pintura y planta 2</t>
  </si>
  <si>
    <t>Plan de acción para conteo total de almacén planta 2, almacén de pintura y planta 3</t>
  </si>
  <si>
    <t>Envio de facturas pendientes a finanzas por cierre de mes, Conteos de almacén</t>
  </si>
  <si>
    <t>Cierre de mes de facturas, capturas de consumos de almacén, conteos de almacén, etiquetado de tornilleria y acomodo de la misma</t>
  </si>
  <si>
    <t>217,460,8305</t>
  </si>
  <si>
    <t>listas para conteo de almacèn,empezar a sacar material que ya no se usa.</t>
  </si>
  <si>
    <t>Conteo de almacén y etiquetado de tornilleria,archivo muerto de mes de agosto y actualización de archivos</t>
  </si>
  <si>
    <t>Conteos de almacén</t>
  </si>
  <si>
    <t>Entrega de facturas, conteos de almacén, revisión de unidades, actualización de polizas de seguro, actualización de archivos de almacén</t>
  </si>
  <si>
    <t>Entrega de facturas a finanzas,conteo de almacén.</t>
  </si>
  <si>
    <t>Etiquetado de pintura con el código de colores, conteos de almacén,camioneta odyssey,lavado de unidades, Factura DOMINION y Factura DOMPAS</t>
  </si>
  <si>
    <t>Actualizar archivo de entradas de compra pendientes, KPI,S San Ramón, entrega de facturas, refacturciones pendientes,conteos de almacén, ticket para almacén de pintura.</t>
  </si>
  <si>
    <t>aqui</t>
  </si>
  <si>
    <t>Actividades del dpto de compras, entrega de facturas,refacturacción de jomar,conteos diarios de almacén.</t>
  </si>
  <si>
    <t>Entrega de facturas,grabación de videos faltantes,actualización de bitacora de facturas, conteos.</t>
  </si>
  <si>
    <t>Entrega de facturas, conteos de almacén, terminar videos faltantes,etiquetas de pintura,cierre de semana de facturas, refacturaciones pendientes.</t>
  </si>
  <si>
    <t xml:space="preserve">Entrega de facturas, terminar videos,refacturación pendiente,gastos sin afectar </t>
  </si>
  <si>
    <t>Conteos de almacén, etiquetas de tornillería,archivos,acomodo de papelería.</t>
  </si>
  <si>
    <t>Subir videos a teams,conteos,requis de mantenimiento (max-min),envios de facturas, refacturaciones pendientes, gastos directos,</t>
  </si>
  <si>
    <t xml:space="preserve">Envio de facturas,conteos de almacén, acomodo de estantes del almacén 2,pendientes de almacén de pintura,etiquetas de código de colores </t>
  </si>
  <si>
    <t>Registro de facturas en bitacora,conteos diarios,LPA, acomodo de estantes de planta 2,almacén de pintura,etiquetas de código de colores</t>
  </si>
  <si>
    <t>Pendientes Cotización</t>
  </si>
  <si>
    <t>Pendientes Aprobación</t>
  </si>
  <si>
    <t>OC Abiertas</t>
  </si>
  <si>
    <t>Pintura negra Hyster. (MP-00001-A) Fecha 01-09-2026</t>
  </si>
  <si>
    <t>Placa 3/4 6X10 (MP-00113-A). Fecha 28-08-2026</t>
  </si>
  <si>
    <t>Pintura Amarillo CAT. (MP-00081-A ) 27-08-2026</t>
  </si>
  <si>
    <t>Junta Parametros de 3/4 26-08-2026</t>
  </si>
  <si>
    <t>Entregable de Facturas 4 pendientes</t>
  </si>
  <si>
    <t>Archivo de Placas-01-09-2026</t>
  </si>
  <si>
    <t xml:space="preserve">Archivo pintura </t>
  </si>
  <si>
    <t>MP-00040-A Placa Hsyer 1/4</t>
  </si>
  <si>
    <t>MP-00019-A ´laca Hyster 5/16</t>
  </si>
  <si>
    <t>MP-00040-A Placa Hsyer 1/4- 09-09-2026</t>
  </si>
  <si>
    <t>Pintura Amarillo CAT. (MP-00081-A ) 09-09-2026</t>
  </si>
  <si>
    <t>RQ- 19335. PLACA 3/4 FORTACERO</t>
  </si>
  <si>
    <t xml:space="preserve">RQ- 19505. NITROGENO LIQUIDO DE PLANTA </t>
  </si>
  <si>
    <t>RQ-19509. 3000 LBS PINTURA NEGRA</t>
  </si>
  <si>
    <t>RQ- 19335. PLACA 3/4 FORTACERO(-14)</t>
  </si>
  <si>
    <t>RQ- 19505. NITROGENO LIQUIDO DE PLANTA  (-6)</t>
  </si>
  <si>
    <t>RQ-19509. 3000 LBS PINTURA NEGRA (-6)</t>
  </si>
  <si>
    <t>RQ-19507  TRASMISION GRANALLA (-6)</t>
  </si>
  <si>
    <t>Placa de 3/4 6x10 a572 G50 - 11-09-2026</t>
  </si>
  <si>
    <t xml:space="preserve"> NITROGENO LIQUIDO DE PLANTA  Proveedor queja formal</t>
  </si>
  <si>
    <t xml:space="preserve">Pintura Naranja </t>
  </si>
  <si>
    <t>Calidad 3/4 --- Diana</t>
  </si>
  <si>
    <t>ARchivos Excel</t>
  </si>
  <si>
    <t xml:space="preserve"> NITROGENO LIQUIDO DE PLANTA  Proveedor queja formal Y La factura 31</t>
  </si>
  <si>
    <t xml:space="preserve">PTR - KIMSU </t>
  </si>
  <si>
    <t>PINTURA VITRACOAT RQ (Pdte Leo)</t>
  </si>
  <si>
    <t>PLACA HYSTER RQ (Pdte Leo)</t>
  </si>
  <si>
    <t>Placa cal 12 a572 G50. RQ19645 (2)</t>
  </si>
  <si>
    <t>VIDEOS</t>
  </si>
  <si>
    <t xml:space="preserve"> NITROGENO LIQUIDO DE PLANTA  Proveedor queja formal Y La factura 31 . 09/23</t>
  </si>
  <si>
    <t xml:space="preserve">Productos EBAY Monterrey </t>
  </si>
  <si>
    <t>Productos EBAY Monterrey 09/21</t>
  </si>
  <si>
    <t>Placa de 3/4 6x10 a572 G50 - 11-09-2026 (2)</t>
  </si>
  <si>
    <t>Placa a 1011. Cal 3/16 y Cal 10 (1)</t>
  </si>
  <si>
    <t>Placa de 3/4 6x10 a572 G50 - 11-09-2026 (3)</t>
  </si>
  <si>
    <t>CERTIFICADOS DE COLADA PLACA 1011 DE AYER</t>
  </si>
  <si>
    <t>Reposicion Placa 3/4 desnivelada 29/09</t>
  </si>
  <si>
    <t>CLT-000001</t>
  </si>
  <si>
    <t>CLT-000031</t>
  </si>
  <si>
    <t>CLT-000002</t>
  </si>
  <si>
    <t>CLT-000090</t>
  </si>
  <si>
    <t>CLT-000140</t>
  </si>
  <si>
    <t>CLT-000120</t>
  </si>
  <si>
    <t>CTL-000122</t>
  </si>
  <si>
    <t>CLT-000138</t>
  </si>
  <si>
    <t>CLT-000062</t>
  </si>
  <si>
    <t>SUBTOTAL</t>
  </si>
  <si>
    <t>HYSTER</t>
  </si>
  <si>
    <t>SKYJACK</t>
  </si>
  <si>
    <t>MPC PRODUCTOS DE MEXICO</t>
  </si>
  <si>
    <t>KIMSU</t>
  </si>
  <si>
    <t>INTEGRATED AUTOMATION TECHNOLOGIES</t>
  </si>
  <si>
    <t>IROBOTIC</t>
  </si>
  <si>
    <t>HEYANG</t>
  </si>
  <si>
    <t>TECTRON METAL</t>
  </si>
  <si>
    <t>SEA SOLUCIONES</t>
  </si>
  <si>
    <t>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</si>
</sst>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</numFmts>
  <fonts count="14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scheme val="minor"/>
    </font>
    <font>
      <b/>
      <sz val="12"/>
      <color rgb="FF9C0006"/>
      <name val="Aptos Narrow"/>
      <scheme val="minor"/>
    </font>
    <font>
      <sz val="12"/>
      <color rgb="FF000000"/>
      <name val="Calibri"/>
    </font>
    <font>
      <sz val="12"/>
      <color rgb="FF000000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Calibri"/>
      <family val="2"/>
    </font>
    <font>
      <sz val="11"/>
      <color rgb="FF000000"/>
      <name val="Aptos Narrow"/>
      <family val="2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</font>
  </fonts>
  <fills count="11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</cellStyleXfs>
  <cellXfs count="68">
    <xf numFmtId="0" fontId="0" fillId="0" borderId="0" xfId="0"/>
    <xf numFmtId="0" fontId="0" fillId="0" borderId="0" xfId="0" applyAlignment="1">
      <alignment horizontal="center"/>
    </xf>
    <xf numFmtId="0" fontId="3" fillId="3" borderId="1" xfId="4" applyBorder="1" applyAlignment="1">
      <alignment horizontal="center"/>
    </xf>
    <xf numFmtId="0" fontId="0" fillId="0" borderId="1" xfId="0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/>
    <xf numFmtId="9" fontId="0" fillId="0" borderId="1" xfId="2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5" fillId="3" borderId="1" xfId="4" applyFont="1" applyBorder="1" applyAlignment="1">
      <alignment horizontal="center" vertical="center" wrapText="1"/>
    </xf>
    <xf numFmtId="0" fontId="5" fillId="4" borderId="1" xfId="5" applyFont="1" applyBorder="1" applyAlignment="1">
      <alignment horizontal="center" vertical="center" wrapText="1"/>
    </xf>
    <xf numFmtId="0" fontId="6" fillId="2" borderId="1" xfId="3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5" borderId="1" xfId="5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8" fontId="7" fillId="0" borderId="0" xfId="0" applyNumberFormat="1" applyFont="1"/>
    <xf numFmtId="4" fontId="0" fillId="0" borderId="1" xfId="0" applyNumberFormat="1" applyBorder="1" applyAlignment="1">
      <alignment horizontal="center" vertical="center"/>
    </xf>
    <xf numFmtId="0" fontId="3" fillId="3" borderId="1" xfId="4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9" fontId="0" fillId="6" borderId="1" xfId="2" applyFont="1" applyFill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4" fontId="0" fillId="6" borderId="1" xfId="1" applyNumberFormat="1" applyFont="1" applyFill="1" applyBorder="1" applyAlignment="1">
      <alignment horizontal="center" vertical="center"/>
    </xf>
    <xf numFmtId="0" fontId="0" fillId="0" borderId="1" xfId="2" applyNumberFormat="1" applyFont="1" applyBorder="1" applyAlignment="1">
      <alignment horizontal="center" vertical="center"/>
    </xf>
    <xf numFmtId="8" fontId="0" fillId="0" borderId="1" xfId="2" applyNumberFormat="1" applyFont="1" applyBorder="1" applyAlignment="1">
      <alignment horizontal="center" vertical="center"/>
    </xf>
    <xf numFmtId="8" fontId="0" fillId="0" borderId="1" xfId="0" applyNumberFormat="1" applyBorder="1" applyAlignment="1">
      <alignment horizontal="center" vertical="center"/>
    </xf>
    <xf numFmtId="6" fontId="0" fillId="0" borderId="1" xfId="2" applyNumberFormat="1" applyFon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4" fontId="0" fillId="7" borderId="1" xfId="1" applyNumberFormat="1" applyFont="1" applyFill="1" applyBorder="1" applyAlignment="1">
      <alignment horizontal="center" vertical="center"/>
    </xf>
    <xf numFmtId="0" fontId="0" fillId="7" borderId="1" xfId="2" applyNumberFormat="1" applyFont="1" applyFill="1" applyBorder="1" applyAlignment="1">
      <alignment horizontal="center" vertical="center"/>
    </xf>
    <xf numFmtId="3" fontId="0" fillId="7" borderId="1" xfId="0" applyNumberFormat="1" applyFill="1" applyBorder="1" applyAlignment="1">
      <alignment horizontal="center" vertical="center"/>
    </xf>
    <xf numFmtId="8" fontId="0" fillId="7" borderId="1" xfId="0" applyNumberFormat="1" applyFill="1" applyBorder="1" applyAlignment="1">
      <alignment horizontal="center" vertical="center"/>
    </xf>
    <xf numFmtId="8" fontId="0" fillId="7" borderId="1" xfId="2" applyNumberFormat="1" applyFont="1" applyFill="1" applyBorder="1" applyAlignment="1">
      <alignment horizontal="center" vertical="center"/>
    </xf>
    <xf numFmtId="0" fontId="0" fillId="0" borderId="1" xfId="2" applyNumberFormat="1" applyFont="1" applyFill="1" applyBorder="1" applyAlignment="1">
      <alignment horizontal="center" vertical="center"/>
    </xf>
    <xf numFmtId="8" fontId="0" fillId="0" borderId="1" xfId="2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0" xfId="0" applyFont="1"/>
    <xf numFmtId="8" fontId="0" fillId="0" borderId="2" xfId="0" applyNumberFormat="1" applyBorder="1"/>
    <xf numFmtId="0" fontId="0" fillId="0" borderId="4" xfId="0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64" fontId="0" fillId="8" borderId="1" xfId="1" applyNumberFormat="1" applyFont="1" applyFill="1" applyBorder="1" applyAlignment="1">
      <alignment horizontal="center" vertical="center"/>
    </xf>
    <xf numFmtId="8" fontId="0" fillId="7" borderId="0" xfId="0" applyNumberFormat="1" applyFill="1"/>
    <xf numFmtId="9" fontId="0" fillId="6" borderId="4" xfId="2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8" fontId="0" fillId="0" borderId="6" xfId="0" applyNumberForma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8" fontId="11" fillId="0" borderId="1" xfId="0" applyNumberFormat="1" applyFont="1" applyBorder="1"/>
    <xf numFmtId="0" fontId="12" fillId="9" borderId="1" xfId="0" applyFont="1" applyFill="1" applyBorder="1"/>
    <xf numFmtId="8" fontId="13" fillId="0" borderId="1" xfId="0" applyNumberFormat="1" applyFont="1" applyBorder="1"/>
    <xf numFmtId="164" fontId="0" fillId="0" borderId="1" xfId="1" applyNumberFormat="1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43" fontId="10" fillId="0" borderId="2" xfId="0" applyNumberFormat="1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16" fontId="0" fillId="0" borderId="2" xfId="0" applyNumberFormat="1" applyBorder="1" applyAlignment="1">
      <alignment horizontal="center"/>
    </xf>
    <xf numFmtId="43" fontId="0" fillId="10" borderId="2" xfId="0" applyNumberFormat="1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43" fontId="7" fillId="0" borderId="2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</cellXfs>
  <cellStyles count="6">
    <cellStyle name="Énfasis1" xfId="4" builtinId="29"/>
    <cellStyle name="Énfasis2" xfId="5" builtinId="33"/>
    <cellStyle name="Incorrecto" xfId="3" builtinId="27"/>
    <cellStyle name="Moneda" xfId="1" builtinId="4"/>
    <cellStyle name="Normal" xfId="0" builtinId="0"/>
    <cellStyle name="Porcentaje" xfId="2" builtinId="5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680A5-8F8B-5A45-9EA6-98543312FDF8}">
  <dimension ref="B2:W130"/>
  <sheetViews>
    <sheetView showGridLines="0" tabSelected="1" zoomScaleNormal="100" workbookViewId="0">
      <pane xSplit="4" ySplit="2" topLeftCell="O27" activePane="bottomRight" state="frozen"/>
      <selection pane="bottomRight" activeCell="I2" sqref="I2"/>
      <selection pane="bottomLeft" activeCell="A3" sqref="A3"/>
      <selection pane="topRight" activeCell="E1" sqref="E1"/>
    </sheetView>
  </sheetViews>
  <sheetFormatPr defaultColWidth="11" defaultRowHeight="16.5"/>
  <cols>
    <col min="1" max="1" width="4.5" customWidth="1"/>
    <col min="2" max="2" width="4.625" bestFit="1" customWidth="1"/>
    <col min="3" max="3" width="7.875" bestFit="1" customWidth="1"/>
    <col min="4" max="4" width="9.875" bestFit="1" customWidth="1"/>
    <col min="5" max="5" width="6.5" bestFit="1" customWidth="1"/>
    <col min="6" max="6" width="11.375" bestFit="1" customWidth="1"/>
    <col min="7" max="7" width="14.625" bestFit="1" customWidth="1"/>
    <col min="8" max="8" width="13.625" bestFit="1" customWidth="1"/>
    <col min="9" max="9" width="11.5" bestFit="1" customWidth="1"/>
    <col min="10" max="10" width="9.5" bestFit="1" customWidth="1"/>
    <col min="11" max="11" width="11.5" bestFit="1" customWidth="1"/>
    <col min="12" max="12" width="8.5" bestFit="1" customWidth="1"/>
    <col min="13" max="13" width="11.5" bestFit="1" customWidth="1"/>
    <col min="14" max="14" width="9.5" bestFit="1" customWidth="1"/>
    <col min="15" max="15" width="11.5" bestFit="1" customWidth="1"/>
    <col min="16" max="16" width="14" customWidth="1"/>
    <col min="17" max="17" width="11.5" customWidth="1"/>
    <col min="18" max="18" width="6.375" bestFit="1" customWidth="1"/>
    <col min="19" max="19" width="34.5" bestFit="1" customWidth="1"/>
    <col min="20" max="20" width="36.875" customWidth="1"/>
    <col min="21" max="21" width="27.625" customWidth="1"/>
    <col min="22" max="22" width="27.125" customWidth="1"/>
    <col min="23" max="23" width="26.125" customWidth="1"/>
  </cols>
  <sheetData>
    <row r="2" spans="2:23" s="11" customFormat="1" ht="45">
      <c r="B2" s="8" t="s">
        <v>0</v>
      </c>
      <c r="C2" s="8" t="s">
        <v>1</v>
      </c>
      <c r="D2" s="8" t="s">
        <v>2</v>
      </c>
      <c r="E2" s="9" t="s">
        <v>3</v>
      </c>
      <c r="F2" s="9" t="s">
        <v>4</v>
      </c>
      <c r="G2" s="9" t="s">
        <v>5</v>
      </c>
      <c r="H2" s="9" t="s">
        <v>6</v>
      </c>
      <c r="I2" s="9" t="s">
        <v>7</v>
      </c>
      <c r="J2" s="9" t="s">
        <v>8</v>
      </c>
      <c r="K2" s="9" t="s">
        <v>9</v>
      </c>
      <c r="L2" s="9" t="s">
        <v>10</v>
      </c>
      <c r="M2" s="9" t="s">
        <v>11</v>
      </c>
      <c r="N2" s="9" t="s">
        <v>12</v>
      </c>
      <c r="O2" s="9" t="s">
        <v>13</v>
      </c>
      <c r="P2" s="8" t="s">
        <v>14</v>
      </c>
      <c r="Q2" s="8" t="s">
        <v>15</v>
      </c>
      <c r="R2" s="8" t="s">
        <v>16</v>
      </c>
      <c r="S2" s="10" t="s">
        <v>17</v>
      </c>
      <c r="T2" s="10" t="s">
        <v>18</v>
      </c>
      <c r="U2" s="10" t="s">
        <v>19</v>
      </c>
      <c r="V2" s="10" t="s">
        <v>20</v>
      </c>
      <c r="W2" s="10" t="s">
        <v>21</v>
      </c>
    </row>
    <row r="3" spans="2:23">
      <c r="B3" s="3" t="str">
        <f>+TEXT(D3,"MMM")</f>
        <v>ago</v>
      </c>
      <c r="C3" s="3">
        <f>+WEEKNUM(D3)</f>
        <v>35</v>
      </c>
      <c r="D3" s="4">
        <v>46260</v>
      </c>
      <c r="E3" s="3">
        <v>1</v>
      </c>
      <c r="F3" s="3">
        <v>47</v>
      </c>
      <c r="G3" s="15">
        <v>109159.11</v>
      </c>
      <c r="H3" s="20">
        <f>+J3+L3+N3</f>
        <v>31</v>
      </c>
      <c r="I3" s="23">
        <f>+K3+M3+O3</f>
        <v>71400.42</v>
      </c>
      <c r="J3" s="3">
        <v>8</v>
      </c>
      <c r="K3" s="22">
        <v>15312.59</v>
      </c>
      <c r="L3" s="3">
        <v>14</v>
      </c>
      <c r="M3" s="22">
        <v>37796.699999999997</v>
      </c>
      <c r="N3" s="3">
        <v>9</v>
      </c>
      <c r="O3" s="22">
        <v>18291.13</v>
      </c>
      <c r="P3" s="3">
        <v>5</v>
      </c>
      <c r="Q3" s="3">
        <v>4</v>
      </c>
      <c r="R3" s="6">
        <f>+Q3/P3</f>
        <v>0.8</v>
      </c>
      <c r="S3" s="3" t="s">
        <v>22</v>
      </c>
      <c r="T3" s="3" t="s">
        <v>23</v>
      </c>
      <c r="U3" s="13"/>
      <c r="V3" s="13"/>
      <c r="W3" s="13"/>
    </row>
    <row r="4" spans="2:23">
      <c r="B4" s="3" t="str">
        <f t="shared" ref="B4:B67" si="0">+TEXT(D4,"MMM")</f>
        <v>ago</v>
      </c>
      <c r="C4" s="3">
        <f t="shared" ref="C4:C67" si="1">+WEEKNUM(D4)</f>
        <v>35</v>
      </c>
      <c r="D4" s="4">
        <v>46261</v>
      </c>
      <c r="E4" s="3">
        <v>1</v>
      </c>
      <c r="F4" s="3">
        <v>47</v>
      </c>
      <c r="G4" s="26">
        <v>109159.11</v>
      </c>
      <c r="H4" s="20">
        <f>+J4+L4+N4</f>
        <v>33</v>
      </c>
      <c r="I4" s="23">
        <f>+K4+M4+O4</f>
        <v>71400.83</v>
      </c>
      <c r="J4" s="24">
        <v>8</v>
      </c>
      <c r="K4" s="16">
        <v>15313</v>
      </c>
      <c r="L4" s="7">
        <v>24</v>
      </c>
      <c r="M4" s="25">
        <v>54633.57</v>
      </c>
      <c r="N4" s="3">
        <v>1</v>
      </c>
      <c r="O4" s="7">
        <v>1454.26</v>
      </c>
      <c r="P4" s="3">
        <v>3</v>
      </c>
      <c r="Q4" s="3">
        <v>3</v>
      </c>
      <c r="R4" s="6">
        <f>+Q4/P4</f>
        <v>1</v>
      </c>
      <c r="S4" s="3" t="s">
        <v>22</v>
      </c>
      <c r="T4" s="3" t="s">
        <v>23</v>
      </c>
      <c r="U4" s="3" t="s">
        <v>24</v>
      </c>
      <c r="V4" s="3"/>
      <c r="W4" s="3"/>
    </row>
    <row r="5" spans="2:23">
      <c r="B5" s="3" t="str">
        <f t="shared" si="0"/>
        <v>ago</v>
      </c>
      <c r="C5" s="3">
        <f t="shared" si="1"/>
        <v>35</v>
      </c>
      <c r="D5" s="4">
        <v>46262</v>
      </c>
      <c r="E5" s="3">
        <v>1</v>
      </c>
      <c r="F5" s="3">
        <v>71</v>
      </c>
      <c r="G5" s="26">
        <v>163792.68</v>
      </c>
      <c r="H5" s="20">
        <f>+J5+L5+N5</f>
        <v>17</v>
      </c>
      <c r="I5" s="23">
        <f>+K5+M5+O5</f>
        <v>16766.59</v>
      </c>
      <c r="J5" s="24">
        <v>16</v>
      </c>
      <c r="K5" s="26">
        <v>15312.59</v>
      </c>
      <c r="L5" s="7">
        <v>1</v>
      </c>
      <c r="M5" s="27">
        <v>1454</v>
      </c>
      <c r="N5" s="3">
        <v>0</v>
      </c>
      <c r="O5" s="7">
        <v>0</v>
      </c>
      <c r="P5" s="3">
        <v>4</v>
      </c>
      <c r="Q5" s="3">
        <v>4</v>
      </c>
      <c r="R5" s="6">
        <f>+Q5/P5</f>
        <v>1</v>
      </c>
      <c r="S5" s="3" t="s">
        <v>25</v>
      </c>
      <c r="T5" s="3" t="s">
        <v>26</v>
      </c>
      <c r="U5" s="3" t="s">
        <v>27</v>
      </c>
      <c r="V5" s="3" t="s">
        <v>28</v>
      </c>
      <c r="W5" s="3"/>
    </row>
    <row r="6" spans="2:23">
      <c r="B6" s="3" t="str">
        <f t="shared" si="0"/>
        <v>ago</v>
      </c>
      <c r="C6" s="3">
        <f t="shared" si="1"/>
        <v>35</v>
      </c>
      <c r="D6" s="4">
        <v>46263</v>
      </c>
      <c r="E6" s="3">
        <v>1</v>
      </c>
      <c r="F6" s="3">
        <v>71</v>
      </c>
      <c r="G6" s="26">
        <v>163792.68</v>
      </c>
      <c r="H6" s="20">
        <f>+J6+L6+N6</f>
        <v>17</v>
      </c>
      <c r="I6" s="23">
        <f>+K6+M6+O6</f>
        <v>16766.59</v>
      </c>
      <c r="J6" s="24">
        <v>16</v>
      </c>
      <c r="K6" s="26">
        <v>15312.59</v>
      </c>
      <c r="L6" s="7">
        <v>1</v>
      </c>
      <c r="M6" s="27">
        <v>1454</v>
      </c>
      <c r="N6" s="3">
        <v>0</v>
      </c>
      <c r="O6" s="7">
        <v>0</v>
      </c>
      <c r="P6" s="3">
        <v>1</v>
      </c>
      <c r="Q6" s="3">
        <v>1</v>
      </c>
      <c r="R6" s="6">
        <f>+Q6/P6</f>
        <v>1</v>
      </c>
      <c r="S6" s="3" t="s">
        <v>29</v>
      </c>
      <c r="T6" s="3"/>
      <c r="U6" s="3"/>
      <c r="V6" s="3"/>
      <c r="W6" s="3"/>
    </row>
    <row r="7" spans="2:23">
      <c r="B7" s="3" t="str">
        <f t="shared" si="0"/>
        <v>ago</v>
      </c>
      <c r="C7" s="3">
        <f t="shared" si="1"/>
        <v>36</v>
      </c>
      <c r="D7" s="4">
        <v>46264</v>
      </c>
      <c r="E7" s="3">
        <v>1</v>
      </c>
      <c r="F7" s="3">
        <v>71</v>
      </c>
      <c r="G7" s="26">
        <v>163792.68</v>
      </c>
      <c r="H7" s="20">
        <f>+J7+L7+N7</f>
        <v>17</v>
      </c>
      <c r="I7" s="23">
        <f>+K7+M7+O7</f>
        <v>16766.59</v>
      </c>
      <c r="J7" s="24">
        <v>16</v>
      </c>
      <c r="K7" s="26">
        <v>15312.59</v>
      </c>
      <c r="L7" s="7">
        <v>1</v>
      </c>
      <c r="M7" s="27">
        <v>1454</v>
      </c>
      <c r="N7" s="3">
        <v>0</v>
      </c>
      <c r="O7" s="7">
        <v>0</v>
      </c>
      <c r="P7" s="3">
        <v>0</v>
      </c>
      <c r="Q7" s="3">
        <v>0</v>
      </c>
      <c r="R7" s="6" t="e">
        <f>+Q7/P7</f>
        <v>#DIV/0!</v>
      </c>
      <c r="S7" s="3"/>
      <c r="T7" s="3"/>
      <c r="U7" s="3"/>
      <c r="V7" s="3"/>
      <c r="W7" s="3"/>
    </row>
    <row r="8" spans="2:23">
      <c r="B8" s="3" t="str">
        <f t="shared" si="0"/>
        <v>ago</v>
      </c>
      <c r="C8" s="3">
        <f t="shared" si="1"/>
        <v>36</v>
      </c>
      <c r="D8" s="4">
        <v>46265</v>
      </c>
      <c r="E8" s="3">
        <v>1</v>
      </c>
      <c r="F8" s="3">
        <v>97</v>
      </c>
      <c r="G8" s="26">
        <v>167506.14000000001</v>
      </c>
      <c r="H8" s="41">
        <f>+J8+L8+N8</f>
        <v>16</v>
      </c>
      <c r="I8" s="42">
        <f>+K8+M8+O8</f>
        <v>33494.78</v>
      </c>
      <c r="J8" s="34">
        <v>13</v>
      </c>
      <c r="K8" s="26">
        <v>27077.01</v>
      </c>
      <c r="L8" s="7">
        <v>3</v>
      </c>
      <c r="M8" s="35">
        <v>6417.77</v>
      </c>
      <c r="N8" s="3">
        <v>0</v>
      </c>
      <c r="O8" s="7">
        <v>0</v>
      </c>
      <c r="P8" s="3">
        <v>6</v>
      </c>
      <c r="Q8" s="3">
        <v>4</v>
      </c>
      <c r="R8" s="6">
        <f>+Q8/P8</f>
        <v>0.66666666666666663</v>
      </c>
      <c r="S8" s="3" t="s">
        <v>30</v>
      </c>
      <c r="T8" s="3" t="s">
        <v>31</v>
      </c>
      <c r="U8" s="3"/>
      <c r="V8" s="3"/>
      <c r="W8" s="3"/>
    </row>
    <row r="9" spans="2:23" ht="15.75">
      <c r="B9" s="3" t="str">
        <f t="shared" si="0"/>
        <v>sep</v>
      </c>
      <c r="C9" s="3">
        <f t="shared" si="1"/>
        <v>36</v>
      </c>
      <c r="D9" s="4">
        <v>46266</v>
      </c>
      <c r="E9" s="28">
        <v>1</v>
      </c>
      <c r="F9" s="28">
        <v>2</v>
      </c>
      <c r="G9" s="43">
        <v>529.45000000000005</v>
      </c>
      <c r="H9" s="28">
        <f>+J9+L9+N9</f>
        <v>11</v>
      </c>
      <c r="I9" s="29">
        <f>+K9+M9+O9</f>
        <v>22939.31</v>
      </c>
      <c r="J9" s="30">
        <v>8</v>
      </c>
      <c r="K9" s="32">
        <v>15004.19</v>
      </c>
      <c r="L9" s="31">
        <v>2</v>
      </c>
      <c r="M9" s="33">
        <v>5426.67</v>
      </c>
      <c r="N9" s="28">
        <v>1</v>
      </c>
      <c r="O9" s="31">
        <v>2508.4499999999998</v>
      </c>
      <c r="P9" s="28">
        <v>5</v>
      </c>
      <c r="Q9" s="28">
        <v>4</v>
      </c>
      <c r="R9" s="6">
        <f>+Q9/P9</f>
        <v>0.8</v>
      </c>
      <c r="S9" s="3" t="s">
        <v>32</v>
      </c>
      <c r="T9" s="3" t="s">
        <v>33</v>
      </c>
      <c r="U9" s="3" t="s">
        <v>34</v>
      </c>
      <c r="V9" s="3"/>
      <c r="W9" s="3"/>
    </row>
    <row r="10" spans="2:23" ht="15.75">
      <c r="B10" s="3" t="str">
        <f t="shared" si="0"/>
        <v>sep</v>
      </c>
      <c r="C10" s="3">
        <f t="shared" si="1"/>
        <v>36</v>
      </c>
      <c r="D10" s="4">
        <v>46267</v>
      </c>
      <c r="E10" s="3">
        <v>1</v>
      </c>
      <c r="F10" s="39">
        <v>5</v>
      </c>
      <c r="G10" s="38">
        <v>3144.45</v>
      </c>
      <c r="H10" s="40">
        <f>+J10+L10+N10</f>
        <v>16</v>
      </c>
      <c r="I10" s="23">
        <f>+K10+M10+O10</f>
        <v>30425.58</v>
      </c>
      <c r="J10" s="34">
        <v>10</v>
      </c>
      <c r="K10" s="26">
        <v>21200.61</v>
      </c>
      <c r="L10" s="7">
        <v>6</v>
      </c>
      <c r="M10" s="35">
        <v>9224.9699999999993</v>
      </c>
      <c r="N10" s="3">
        <v>0</v>
      </c>
      <c r="O10" s="7">
        <v>0</v>
      </c>
      <c r="P10" s="3">
        <v>6</v>
      </c>
      <c r="Q10" s="3">
        <v>6</v>
      </c>
      <c r="R10" s="6">
        <f>+Q10/P10</f>
        <v>1</v>
      </c>
      <c r="S10" s="36" t="s">
        <v>35</v>
      </c>
      <c r="T10" s="3" t="s">
        <v>36</v>
      </c>
      <c r="U10" s="3"/>
      <c r="V10" s="3"/>
      <c r="W10" s="3"/>
    </row>
    <row r="11" spans="2:23">
      <c r="B11" s="3" t="str">
        <f t="shared" si="0"/>
        <v>sep</v>
      </c>
      <c r="C11" s="3">
        <f t="shared" si="1"/>
        <v>36</v>
      </c>
      <c r="D11" s="4">
        <v>46268</v>
      </c>
      <c r="E11" s="3">
        <v>1</v>
      </c>
      <c r="F11" s="3">
        <v>6</v>
      </c>
      <c r="G11" s="46">
        <v>6667.25</v>
      </c>
      <c r="H11" s="20">
        <f>+J11+L11+N11</f>
        <v>18</v>
      </c>
      <c r="I11" s="23">
        <f>+K11+M11+O11</f>
        <v>30425.58</v>
      </c>
      <c r="J11" s="34">
        <v>10</v>
      </c>
      <c r="K11" s="26">
        <v>21200.61</v>
      </c>
      <c r="L11" s="7">
        <v>6</v>
      </c>
      <c r="M11" s="35">
        <v>9224.9699999999993</v>
      </c>
      <c r="N11" s="3">
        <v>2</v>
      </c>
      <c r="O11" s="7">
        <v>0</v>
      </c>
      <c r="P11" s="3">
        <v>4</v>
      </c>
      <c r="Q11" s="3">
        <v>4</v>
      </c>
      <c r="R11" s="6">
        <f>+Q11/P11</f>
        <v>1</v>
      </c>
      <c r="S11" s="3" t="s">
        <v>37</v>
      </c>
      <c r="T11" s="3"/>
      <c r="U11" s="3"/>
      <c r="V11" s="3"/>
      <c r="W11" s="3"/>
    </row>
    <row r="12" spans="2:23">
      <c r="B12" s="3" t="str">
        <f t="shared" si="0"/>
        <v>sep</v>
      </c>
      <c r="C12" s="3">
        <f t="shared" si="1"/>
        <v>36</v>
      </c>
      <c r="D12" s="4">
        <v>46269</v>
      </c>
      <c r="E12" s="3">
        <v>1</v>
      </c>
      <c r="F12" s="3">
        <v>8</v>
      </c>
      <c r="G12" s="26">
        <v>7075.38</v>
      </c>
      <c r="H12" s="20">
        <f>+J12+L12+N12</f>
        <v>16</v>
      </c>
      <c r="I12" s="23">
        <f>+K12+M12+O12</f>
        <v>24162.479999999996</v>
      </c>
      <c r="J12" s="24">
        <v>6</v>
      </c>
      <c r="K12" s="26">
        <v>10588.02</v>
      </c>
      <c r="L12" s="7">
        <v>6</v>
      </c>
      <c r="M12" s="25">
        <v>9224.9699999999993</v>
      </c>
      <c r="N12" s="3">
        <v>4</v>
      </c>
      <c r="O12" s="7">
        <v>4349.49</v>
      </c>
      <c r="P12" s="3">
        <v>5</v>
      </c>
      <c r="Q12" s="3">
        <v>5</v>
      </c>
      <c r="R12" s="6">
        <f>+Q12/P12</f>
        <v>1</v>
      </c>
      <c r="S12" s="3"/>
      <c r="T12" s="3"/>
      <c r="U12" s="3"/>
      <c r="V12" s="3"/>
      <c r="W12" s="3"/>
    </row>
    <row r="13" spans="2:23">
      <c r="B13" s="3" t="str">
        <f t="shared" si="0"/>
        <v>sep</v>
      </c>
      <c r="C13" s="3">
        <f t="shared" si="1"/>
        <v>36</v>
      </c>
      <c r="D13" s="4">
        <v>46270</v>
      </c>
      <c r="E13" s="3">
        <v>1</v>
      </c>
      <c r="F13" s="3">
        <v>8</v>
      </c>
      <c r="G13" s="26">
        <v>7075.38</v>
      </c>
      <c r="H13" s="20">
        <f>+J13+L13+N13</f>
        <v>16</v>
      </c>
      <c r="I13" s="23">
        <f>+K13+M13+O13</f>
        <v>24162.479999999996</v>
      </c>
      <c r="J13" s="24">
        <v>6</v>
      </c>
      <c r="K13" s="26">
        <v>10588.02</v>
      </c>
      <c r="L13" s="7">
        <v>6</v>
      </c>
      <c r="M13" s="25">
        <v>9224.9699999999993</v>
      </c>
      <c r="N13" s="3">
        <v>4</v>
      </c>
      <c r="O13" s="7">
        <v>4349.49</v>
      </c>
      <c r="P13" s="3">
        <v>0</v>
      </c>
      <c r="Q13" s="3">
        <v>0</v>
      </c>
      <c r="R13" s="6" t="e">
        <f>+Q13/P13</f>
        <v>#DIV/0!</v>
      </c>
      <c r="S13" s="3"/>
      <c r="T13" s="3"/>
      <c r="U13" s="3"/>
      <c r="V13" s="3"/>
      <c r="W13" s="3"/>
    </row>
    <row r="14" spans="2:23">
      <c r="B14" s="3" t="str">
        <f t="shared" si="0"/>
        <v>sep</v>
      </c>
      <c r="C14" s="3">
        <f t="shared" si="1"/>
        <v>37</v>
      </c>
      <c r="D14" s="4">
        <v>46271</v>
      </c>
      <c r="E14" s="3">
        <v>1</v>
      </c>
      <c r="F14" s="3">
        <v>8</v>
      </c>
      <c r="G14" s="26">
        <v>7075.38</v>
      </c>
      <c r="H14" s="20">
        <f>+J14+L14+N14</f>
        <v>16</v>
      </c>
      <c r="I14" s="23">
        <f>+K14+M14+O14</f>
        <v>24162.479999999996</v>
      </c>
      <c r="J14" s="24">
        <v>6</v>
      </c>
      <c r="K14" s="26">
        <v>10588.02</v>
      </c>
      <c r="L14" s="7">
        <v>6</v>
      </c>
      <c r="M14" s="25">
        <v>9224.9699999999993</v>
      </c>
      <c r="N14" s="3">
        <v>4</v>
      </c>
      <c r="O14" s="7">
        <v>4349.49</v>
      </c>
      <c r="P14" s="3">
        <v>0</v>
      </c>
      <c r="Q14" s="3">
        <v>0</v>
      </c>
      <c r="R14" s="6" t="e">
        <f>+Q14/P14</f>
        <v>#DIV/0!</v>
      </c>
      <c r="S14" s="3"/>
      <c r="T14" s="3"/>
      <c r="U14" s="3"/>
      <c r="V14" s="3"/>
      <c r="W14" s="3"/>
    </row>
    <row r="15" spans="2:23">
      <c r="B15" s="3" t="str">
        <f t="shared" si="0"/>
        <v>sep</v>
      </c>
      <c r="C15" s="3">
        <f t="shared" si="1"/>
        <v>37</v>
      </c>
      <c r="D15" s="4">
        <v>46272</v>
      </c>
      <c r="E15" s="3">
        <v>1</v>
      </c>
      <c r="F15" s="3">
        <v>8</v>
      </c>
      <c r="G15" s="26">
        <v>7075.38</v>
      </c>
      <c r="H15" s="20">
        <f>+J15+L15+N15</f>
        <v>16</v>
      </c>
      <c r="I15" s="23">
        <f>+K15+M15+O15</f>
        <v>24162.479999999996</v>
      </c>
      <c r="J15" s="24">
        <v>6</v>
      </c>
      <c r="K15" s="26">
        <v>10588.02</v>
      </c>
      <c r="L15" s="7">
        <v>6</v>
      </c>
      <c r="M15" s="25">
        <v>9224.9699999999993</v>
      </c>
      <c r="N15" s="3">
        <v>4</v>
      </c>
      <c r="O15" s="7">
        <v>4349.49</v>
      </c>
      <c r="P15" s="3">
        <v>5</v>
      </c>
      <c r="Q15" s="3">
        <v>5</v>
      </c>
      <c r="R15" s="6">
        <f>+Q15/P15</f>
        <v>1</v>
      </c>
      <c r="S15" s="3"/>
      <c r="T15" s="3"/>
      <c r="U15" s="3"/>
      <c r="V15" s="3"/>
      <c r="W15" s="3"/>
    </row>
    <row r="16" spans="2:23">
      <c r="B16" s="3" t="str">
        <f t="shared" si="0"/>
        <v>sep</v>
      </c>
      <c r="C16" s="3">
        <f t="shared" si="1"/>
        <v>37</v>
      </c>
      <c r="D16" s="4">
        <v>46273</v>
      </c>
      <c r="E16" s="3">
        <v>1</v>
      </c>
      <c r="F16" s="3">
        <v>19</v>
      </c>
      <c r="G16" s="26">
        <v>14160.07</v>
      </c>
      <c r="H16" s="20">
        <f>+J16+L16+N16</f>
        <v>23</v>
      </c>
      <c r="I16" s="23">
        <f>+K16+M16+O16</f>
        <v>41476.03</v>
      </c>
      <c r="J16" s="24">
        <v>14</v>
      </c>
      <c r="K16" s="26">
        <v>24060.41</v>
      </c>
      <c r="L16" s="3">
        <v>5</v>
      </c>
      <c r="M16" s="25">
        <v>15935.3</v>
      </c>
      <c r="N16" s="3">
        <v>4</v>
      </c>
      <c r="O16" s="26">
        <v>1480.32</v>
      </c>
      <c r="P16" s="3">
        <v>4</v>
      </c>
      <c r="Q16" s="3">
        <v>4</v>
      </c>
      <c r="R16" s="6">
        <f>+Q16/P16</f>
        <v>1</v>
      </c>
      <c r="S16" s="3"/>
      <c r="T16" s="3"/>
      <c r="U16" s="3"/>
      <c r="V16" s="3"/>
      <c r="W16" s="3"/>
    </row>
    <row r="17" spans="2:23">
      <c r="B17" s="3" t="str">
        <f t="shared" si="0"/>
        <v>sep</v>
      </c>
      <c r="C17" s="3">
        <f t="shared" si="1"/>
        <v>37</v>
      </c>
      <c r="D17" s="4">
        <v>46274</v>
      </c>
      <c r="E17" s="3">
        <v>1</v>
      </c>
      <c r="F17" s="3">
        <v>19</v>
      </c>
      <c r="G17" s="26">
        <v>14160.07</v>
      </c>
      <c r="H17" s="20">
        <f>+J17+L17+N17</f>
        <v>20</v>
      </c>
      <c r="I17" s="23">
        <f>+K17+M17+O17</f>
        <v>56234.399999999994</v>
      </c>
      <c r="J17" s="24">
        <v>14</v>
      </c>
      <c r="K17" s="26">
        <v>45144.52</v>
      </c>
      <c r="L17" s="7">
        <v>3</v>
      </c>
      <c r="M17" s="25">
        <v>5451.71</v>
      </c>
      <c r="N17" s="3">
        <v>3</v>
      </c>
      <c r="O17" s="7">
        <v>5638.17</v>
      </c>
      <c r="P17" s="3">
        <v>3</v>
      </c>
      <c r="Q17" s="3">
        <v>3</v>
      </c>
      <c r="R17" s="6">
        <f>+Q17/P17</f>
        <v>1</v>
      </c>
      <c r="S17" s="3" t="s">
        <v>38</v>
      </c>
      <c r="T17" s="3" t="s">
        <v>39</v>
      </c>
      <c r="U17" s="3"/>
      <c r="V17" s="3"/>
      <c r="W17" s="3"/>
    </row>
    <row r="18" spans="2:23">
      <c r="B18" s="3" t="str">
        <f t="shared" si="0"/>
        <v>sep</v>
      </c>
      <c r="C18" s="3">
        <f t="shared" si="1"/>
        <v>37</v>
      </c>
      <c r="D18" s="4">
        <v>46275</v>
      </c>
      <c r="E18" s="3">
        <v>1</v>
      </c>
      <c r="F18" s="3">
        <v>24</v>
      </c>
      <c r="G18" s="26">
        <v>22799.74</v>
      </c>
      <c r="H18" s="20">
        <f>+J18+L18+N18</f>
        <v>29</v>
      </c>
      <c r="I18" s="23">
        <f>+K18+M18+O18</f>
        <v>44191.020000000004</v>
      </c>
      <c r="J18" s="24">
        <v>6</v>
      </c>
      <c r="K18" s="26">
        <v>13266.41</v>
      </c>
      <c r="L18" s="7">
        <v>4</v>
      </c>
      <c r="M18" s="25">
        <v>5368.17</v>
      </c>
      <c r="N18" s="3">
        <v>19</v>
      </c>
      <c r="O18" s="26">
        <v>25556.44</v>
      </c>
      <c r="P18" s="3">
        <v>4</v>
      </c>
      <c r="Q18" s="3">
        <v>3</v>
      </c>
      <c r="R18" s="6">
        <f>+Q18/P18</f>
        <v>0.75</v>
      </c>
      <c r="S18" s="3" t="s">
        <v>40</v>
      </c>
      <c r="T18" s="3" t="s">
        <v>41</v>
      </c>
      <c r="U18" s="3"/>
      <c r="V18" s="3"/>
      <c r="W18" s="3"/>
    </row>
    <row r="19" spans="2:23">
      <c r="B19" s="3" t="str">
        <f t="shared" si="0"/>
        <v>sep</v>
      </c>
      <c r="C19" s="3">
        <f t="shared" si="1"/>
        <v>37</v>
      </c>
      <c r="D19" s="4">
        <v>46276</v>
      </c>
      <c r="E19" s="3">
        <v>1</v>
      </c>
      <c r="F19" s="3">
        <v>34</v>
      </c>
      <c r="G19" s="26">
        <v>42051.16</v>
      </c>
      <c r="H19" s="20">
        <f>+J19+L19+N19</f>
        <v>17</v>
      </c>
      <c r="I19" s="23">
        <f>+K19+M19+O19</f>
        <v>33052.199999999997</v>
      </c>
      <c r="J19" s="24">
        <v>10</v>
      </c>
      <c r="K19" s="26">
        <v>15883.89</v>
      </c>
      <c r="L19" s="7">
        <v>4</v>
      </c>
      <c r="M19" s="25">
        <v>7727.13</v>
      </c>
      <c r="N19" s="3">
        <v>3</v>
      </c>
      <c r="O19" s="7">
        <v>9441.18</v>
      </c>
      <c r="P19" s="3">
        <v>5</v>
      </c>
      <c r="Q19" s="3">
        <v>5</v>
      </c>
      <c r="R19" s="6">
        <f>+Q19/P19</f>
        <v>1</v>
      </c>
      <c r="S19" s="3" t="s">
        <v>42</v>
      </c>
      <c r="T19" s="3" t="s">
        <v>43</v>
      </c>
      <c r="U19" s="3" t="s">
        <v>44</v>
      </c>
      <c r="V19" s="3"/>
      <c r="W19" s="3"/>
    </row>
    <row r="20" spans="2:23">
      <c r="B20" s="3" t="str">
        <f t="shared" si="0"/>
        <v>sep</v>
      </c>
      <c r="C20" s="3">
        <f t="shared" si="1"/>
        <v>37</v>
      </c>
      <c r="D20" s="4">
        <v>46277</v>
      </c>
      <c r="E20" s="3">
        <v>1</v>
      </c>
      <c r="F20" s="3">
        <v>34</v>
      </c>
      <c r="G20" s="26">
        <v>42051.16</v>
      </c>
      <c r="H20" s="20">
        <f>+J20+L20+N20</f>
        <v>17</v>
      </c>
      <c r="I20" s="23">
        <f>+K20+M20+O20</f>
        <v>28800.690000000002</v>
      </c>
      <c r="J20" s="24">
        <v>10</v>
      </c>
      <c r="K20" s="26">
        <v>15883.89</v>
      </c>
      <c r="L20" s="7">
        <v>4</v>
      </c>
      <c r="M20" s="25">
        <v>7727.13</v>
      </c>
      <c r="N20" s="3">
        <v>3</v>
      </c>
      <c r="O20" s="26">
        <v>5189.67</v>
      </c>
      <c r="P20" s="3">
        <v>0</v>
      </c>
      <c r="Q20" s="3">
        <v>0</v>
      </c>
      <c r="R20" s="6" t="e">
        <f>+Q20/P20</f>
        <v>#DIV/0!</v>
      </c>
      <c r="S20" s="3"/>
      <c r="T20" s="3"/>
      <c r="U20" s="3"/>
      <c r="V20" s="3"/>
      <c r="W20" s="3"/>
    </row>
    <row r="21" spans="2:23">
      <c r="B21" s="3" t="str">
        <f t="shared" si="0"/>
        <v>sep</v>
      </c>
      <c r="C21" s="3">
        <f t="shared" si="1"/>
        <v>38</v>
      </c>
      <c r="D21" s="4">
        <v>46278</v>
      </c>
      <c r="E21" s="3">
        <v>1</v>
      </c>
      <c r="F21" s="3">
        <v>34</v>
      </c>
      <c r="G21" s="26">
        <v>42051.16</v>
      </c>
      <c r="H21" s="20">
        <f>+J21+L21+N21</f>
        <v>17</v>
      </c>
      <c r="I21" s="23">
        <f>+K21+M21+O21</f>
        <v>28800.690000000002</v>
      </c>
      <c r="J21" s="24">
        <v>10</v>
      </c>
      <c r="K21" s="26">
        <v>15883.89</v>
      </c>
      <c r="L21" s="7">
        <v>4</v>
      </c>
      <c r="M21" s="25">
        <v>7727.13</v>
      </c>
      <c r="N21" s="3">
        <v>3</v>
      </c>
      <c r="O21" s="26">
        <v>5189.67</v>
      </c>
      <c r="P21" s="3">
        <v>0</v>
      </c>
      <c r="Q21" s="3">
        <v>0</v>
      </c>
      <c r="R21" s="6" t="e">
        <f>+Q21/P21</f>
        <v>#DIV/0!</v>
      </c>
      <c r="S21" s="3"/>
      <c r="T21" s="3"/>
      <c r="U21" s="3"/>
      <c r="V21" s="3"/>
      <c r="W21" s="3"/>
    </row>
    <row r="22" spans="2:23">
      <c r="B22" s="3" t="str">
        <f t="shared" si="0"/>
        <v>sep</v>
      </c>
      <c r="C22" s="3">
        <f t="shared" si="1"/>
        <v>38</v>
      </c>
      <c r="D22" s="4">
        <v>46279</v>
      </c>
      <c r="E22" s="3">
        <v>1</v>
      </c>
      <c r="F22" s="3">
        <v>37</v>
      </c>
      <c r="G22" s="26">
        <v>47450.559999999998</v>
      </c>
      <c r="H22" s="20">
        <f>+J22+L22+N22</f>
        <v>14</v>
      </c>
      <c r="I22" s="23">
        <f>+K22+M22+O22</f>
        <v>36056.71</v>
      </c>
      <c r="J22" s="24">
        <v>11</v>
      </c>
      <c r="K22" s="26">
        <v>30867.040000000001</v>
      </c>
      <c r="L22" s="7">
        <v>0</v>
      </c>
      <c r="M22" s="24">
        <v>0</v>
      </c>
      <c r="N22" s="3">
        <v>3</v>
      </c>
      <c r="O22" s="26">
        <v>5189.67</v>
      </c>
      <c r="P22" s="3">
        <v>5</v>
      </c>
      <c r="Q22" s="3">
        <v>4</v>
      </c>
      <c r="R22" s="6">
        <f>+Q22/P22</f>
        <v>0.8</v>
      </c>
      <c r="S22" s="3" t="s">
        <v>45</v>
      </c>
      <c r="T22" s="3" t="s">
        <v>46</v>
      </c>
      <c r="U22" s="3"/>
      <c r="V22" s="3"/>
      <c r="W22" s="3"/>
    </row>
    <row r="23" spans="2:23">
      <c r="B23" s="3" t="str">
        <f t="shared" si="0"/>
        <v>sep</v>
      </c>
      <c r="C23" s="3">
        <f t="shared" si="1"/>
        <v>38</v>
      </c>
      <c r="D23" s="4">
        <v>46280</v>
      </c>
      <c r="E23" s="3">
        <v>1</v>
      </c>
      <c r="F23" s="3">
        <v>38</v>
      </c>
      <c r="G23" s="26">
        <v>49167.3</v>
      </c>
      <c r="H23" s="20">
        <f>+J23+L23+N23</f>
        <v>23</v>
      </c>
      <c r="I23" s="23">
        <f>+K23+M23+O23</f>
        <v>50789.14</v>
      </c>
      <c r="J23" s="24">
        <v>18</v>
      </c>
      <c r="K23" s="26">
        <v>41508.83</v>
      </c>
      <c r="L23" s="7">
        <v>4</v>
      </c>
      <c r="M23" s="25">
        <v>9170.4500000000007</v>
      </c>
      <c r="N23" s="3">
        <v>1</v>
      </c>
      <c r="O23" s="26">
        <v>109.86</v>
      </c>
      <c r="P23" s="3">
        <v>6</v>
      </c>
      <c r="Q23" s="3">
        <v>5</v>
      </c>
      <c r="R23" s="6">
        <f>+Q23/P23</f>
        <v>0.83333333333333337</v>
      </c>
      <c r="S23" s="3" t="s">
        <v>47</v>
      </c>
      <c r="T23" s="3" t="s">
        <v>48</v>
      </c>
      <c r="U23" s="3" t="s">
        <v>49</v>
      </c>
      <c r="V23" s="3"/>
      <c r="W23" s="3"/>
    </row>
    <row r="24" spans="2:23">
      <c r="B24" s="3" t="str">
        <f t="shared" si="0"/>
        <v>sep</v>
      </c>
      <c r="C24" s="3">
        <f t="shared" si="1"/>
        <v>38</v>
      </c>
      <c r="D24" s="4">
        <v>46281</v>
      </c>
      <c r="E24" s="3">
        <v>1</v>
      </c>
      <c r="F24" s="3">
        <v>38</v>
      </c>
      <c r="G24" s="26">
        <v>49167.3</v>
      </c>
      <c r="H24" s="20">
        <f>+J24+L24+N24</f>
        <v>23</v>
      </c>
      <c r="I24" s="23">
        <f>+K24+M24+O24</f>
        <v>50789.14</v>
      </c>
      <c r="J24" s="24">
        <v>18</v>
      </c>
      <c r="K24" s="26">
        <v>41508.83</v>
      </c>
      <c r="L24" s="7">
        <v>4</v>
      </c>
      <c r="M24" s="25">
        <v>9170.4500000000007</v>
      </c>
      <c r="N24" s="3">
        <v>1</v>
      </c>
      <c r="O24" s="26">
        <v>109.86</v>
      </c>
      <c r="P24" s="3">
        <v>0</v>
      </c>
      <c r="Q24" s="3">
        <v>0</v>
      </c>
      <c r="R24" s="6" t="e">
        <f>+Q24/P24</f>
        <v>#DIV/0!</v>
      </c>
      <c r="S24" s="3" t="s">
        <v>50</v>
      </c>
      <c r="T24" s="3"/>
      <c r="U24" s="3"/>
      <c r="V24" s="3"/>
      <c r="W24" s="3"/>
    </row>
    <row r="25" spans="2:23">
      <c r="B25" s="3" t="str">
        <f t="shared" si="0"/>
        <v>sep</v>
      </c>
      <c r="C25" s="3">
        <f t="shared" si="1"/>
        <v>38</v>
      </c>
      <c r="D25" s="4">
        <v>46282</v>
      </c>
      <c r="E25" s="3">
        <v>1</v>
      </c>
      <c r="F25" s="3">
        <v>44</v>
      </c>
      <c r="G25" s="26">
        <v>55210.59</v>
      </c>
      <c r="H25" s="20">
        <f>+J25+L25+N25</f>
        <v>18</v>
      </c>
      <c r="I25" s="23">
        <f>+K25+M25+O25</f>
        <v>40760.189999999995</v>
      </c>
      <c r="J25" s="24">
        <v>14</v>
      </c>
      <c r="K25" s="26">
        <v>33781.699999999997</v>
      </c>
      <c r="L25" s="7">
        <v>2</v>
      </c>
      <c r="M25" s="25">
        <v>4607.7</v>
      </c>
      <c r="N25" s="3">
        <v>2</v>
      </c>
      <c r="O25" s="26">
        <v>2370.79</v>
      </c>
      <c r="P25" s="3">
        <v>3</v>
      </c>
      <c r="Q25" s="3">
        <v>3</v>
      </c>
      <c r="R25" s="6">
        <f>+Q25/P25</f>
        <v>1</v>
      </c>
      <c r="S25" s="3" t="s">
        <v>50</v>
      </c>
      <c r="T25" s="3"/>
      <c r="U25" s="3"/>
      <c r="V25" s="3"/>
      <c r="W25" s="3"/>
    </row>
    <row r="26" spans="2:23" ht="15.75">
      <c r="B26" s="3" t="str">
        <f t="shared" si="0"/>
        <v>sep</v>
      </c>
      <c r="C26" s="3">
        <f t="shared" si="1"/>
        <v>38</v>
      </c>
      <c r="D26" s="4">
        <v>46283</v>
      </c>
      <c r="E26" s="3">
        <v>1</v>
      </c>
      <c r="F26" s="3">
        <v>49</v>
      </c>
      <c r="G26" s="26">
        <v>65598.27</v>
      </c>
      <c r="H26" s="20">
        <f>+J26+L26+N26</f>
        <v>17</v>
      </c>
      <c r="I26" s="23">
        <f>+K26+M26+O26</f>
        <v>46790.189999999995</v>
      </c>
      <c r="J26" s="24">
        <v>12</v>
      </c>
      <c r="K26" s="26">
        <v>33992.78</v>
      </c>
      <c r="L26" s="7">
        <v>3</v>
      </c>
      <c r="M26" s="25">
        <v>5189.67</v>
      </c>
      <c r="N26" s="3">
        <v>2</v>
      </c>
      <c r="O26" s="26">
        <v>7607.74</v>
      </c>
      <c r="P26" s="3">
        <v>3</v>
      </c>
      <c r="Q26" s="3">
        <v>3</v>
      </c>
      <c r="R26" s="6">
        <f>+Q26/P26</f>
        <v>1</v>
      </c>
      <c r="S26" s="3" t="s">
        <v>50</v>
      </c>
      <c r="T26" s="3" t="s">
        <v>51</v>
      </c>
      <c r="U26" s="3" t="s">
        <v>52</v>
      </c>
      <c r="V26" s="3"/>
      <c r="W26" s="3"/>
    </row>
    <row r="27" spans="2:23" ht="16.5" customHeight="1">
      <c r="B27" s="3" t="str">
        <f t="shared" si="0"/>
        <v>sep</v>
      </c>
      <c r="C27" s="3">
        <f t="shared" si="1"/>
        <v>38</v>
      </c>
      <c r="D27" s="4">
        <v>46284</v>
      </c>
      <c r="E27" s="3">
        <v>1</v>
      </c>
      <c r="F27" s="3">
        <v>49</v>
      </c>
      <c r="G27" s="26">
        <v>65598.27</v>
      </c>
      <c r="H27" s="20">
        <f>+J27+L27+N27</f>
        <v>17</v>
      </c>
      <c r="I27" s="23">
        <f>+K27+M27+O27</f>
        <v>46790.189999999995</v>
      </c>
      <c r="J27" s="24">
        <v>12</v>
      </c>
      <c r="K27" s="26">
        <v>33992.78</v>
      </c>
      <c r="L27" s="7">
        <v>3</v>
      </c>
      <c r="M27" s="25">
        <v>5189.67</v>
      </c>
      <c r="N27" s="3">
        <v>2</v>
      </c>
      <c r="O27" s="26">
        <v>7607.74</v>
      </c>
      <c r="P27" s="3">
        <v>0</v>
      </c>
      <c r="Q27" s="3">
        <v>0</v>
      </c>
      <c r="R27" s="6" t="e">
        <f>+Q27/P27</f>
        <v>#DIV/0!</v>
      </c>
      <c r="S27" s="53" t="s">
        <v>53</v>
      </c>
      <c r="T27" s="54"/>
      <c r="U27" s="55"/>
      <c r="V27" s="3"/>
      <c r="W27" s="3"/>
    </row>
    <row r="28" spans="2:23" ht="16.5" customHeight="1">
      <c r="B28" s="3" t="str">
        <f t="shared" si="0"/>
        <v>sep</v>
      </c>
      <c r="C28" s="3">
        <f t="shared" si="1"/>
        <v>39</v>
      </c>
      <c r="D28" s="4">
        <v>46285</v>
      </c>
      <c r="E28" s="3">
        <v>1</v>
      </c>
      <c r="F28" s="3">
        <v>49</v>
      </c>
      <c r="G28" s="26">
        <v>65598.27</v>
      </c>
      <c r="H28" s="20">
        <f>+J28+L28+N28</f>
        <v>17</v>
      </c>
      <c r="I28" s="23">
        <f>+K28+M28+O28</f>
        <v>46790.189999999995</v>
      </c>
      <c r="J28" s="24">
        <v>12</v>
      </c>
      <c r="K28" s="26">
        <v>33992.78</v>
      </c>
      <c r="L28" s="7">
        <v>3</v>
      </c>
      <c r="M28" s="25">
        <v>5189.67</v>
      </c>
      <c r="N28" s="3">
        <v>2</v>
      </c>
      <c r="O28" s="26">
        <v>7607.74</v>
      </c>
      <c r="P28" s="3">
        <v>0</v>
      </c>
      <c r="Q28" s="3">
        <v>0</v>
      </c>
      <c r="R28" s="6" t="e">
        <f>+Q28/P28</f>
        <v>#DIV/0!</v>
      </c>
      <c r="S28" s="56"/>
      <c r="T28" s="57"/>
      <c r="U28" s="58"/>
      <c r="V28" s="3"/>
      <c r="W28" s="3"/>
    </row>
    <row r="29" spans="2:23" ht="15.75">
      <c r="B29" s="3" t="str">
        <f t="shared" si="0"/>
        <v>sep</v>
      </c>
      <c r="C29" s="3">
        <f t="shared" si="1"/>
        <v>39</v>
      </c>
      <c r="D29" s="4">
        <v>46286</v>
      </c>
      <c r="E29" s="3">
        <v>1</v>
      </c>
      <c r="F29" s="3">
        <v>53</v>
      </c>
      <c r="G29" s="26">
        <v>70809.69</v>
      </c>
      <c r="H29" s="20">
        <f>+J29+L29+N29</f>
        <v>17</v>
      </c>
      <c r="I29" s="23">
        <f>+K29+M29+O29</f>
        <v>40402.539999999994</v>
      </c>
      <c r="J29" s="24">
        <v>12</v>
      </c>
      <c r="K29" s="26">
        <v>33992.78</v>
      </c>
      <c r="L29" s="7">
        <v>3</v>
      </c>
      <c r="M29" s="25">
        <v>5189.67</v>
      </c>
      <c r="N29" s="3">
        <v>2</v>
      </c>
      <c r="O29" s="26">
        <v>1220.0899999999999</v>
      </c>
      <c r="P29" s="3">
        <v>6</v>
      </c>
      <c r="Q29" s="3">
        <v>6</v>
      </c>
      <c r="R29" s="6">
        <f>+Q29/P29</f>
        <v>1</v>
      </c>
      <c r="S29" s="3" t="s">
        <v>54</v>
      </c>
      <c r="T29" s="3" t="s">
        <v>55</v>
      </c>
      <c r="U29" s="3" t="s">
        <v>56</v>
      </c>
      <c r="V29" s="3" t="s">
        <v>57</v>
      </c>
      <c r="W29" s="3"/>
    </row>
    <row r="30" spans="2:23">
      <c r="B30" s="3" t="str">
        <f t="shared" si="0"/>
        <v>sep</v>
      </c>
      <c r="C30" s="3">
        <f t="shared" si="1"/>
        <v>39</v>
      </c>
      <c r="D30" s="4">
        <v>46287</v>
      </c>
      <c r="E30" s="3">
        <v>1</v>
      </c>
      <c r="F30" s="3">
        <v>55</v>
      </c>
      <c r="G30" s="26">
        <v>72302.34</v>
      </c>
      <c r="H30" s="20">
        <f>+J30+L30+N30</f>
        <v>17</v>
      </c>
      <c r="I30" s="23">
        <f>+K30+M30+O30</f>
        <v>37557.130000000005</v>
      </c>
      <c r="J30" s="24">
        <v>10</v>
      </c>
      <c r="K30" s="26">
        <v>25405.91</v>
      </c>
      <c r="L30" s="7">
        <v>3</v>
      </c>
      <c r="M30" s="25">
        <v>4402.88</v>
      </c>
      <c r="N30" s="3">
        <v>4</v>
      </c>
      <c r="O30" s="26">
        <v>7748.34</v>
      </c>
      <c r="P30" s="3">
        <v>5</v>
      </c>
      <c r="Q30" s="3">
        <v>5</v>
      </c>
      <c r="R30" s="6">
        <f>+Q30/P30</f>
        <v>1</v>
      </c>
      <c r="S30" s="3" t="s">
        <v>58</v>
      </c>
      <c r="T30" s="3" t="s">
        <v>59</v>
      </c>
      <c r="U30" s="3" t="s">
        <v>56</v>
      </c>
      <c r="V30" s="3" t="s">
        <v>60</v>
      </c>
      <c r="W30" s="3"/>
    </row>
    <row r="31" spans="2:23">
      <c r="B31" s="3" t="str">
        <f t="shared" si="0"/>
        <v>sep</v>
      </c>
      <c r="C31" s="3">
        <f t="shared" si="1"/>
        <v>39</v>
      </c>
      <c r="D31" s="4">
        <v>46288</v>
      </c>
      <c r="E31" s="3">
        <v>1</v>
      </c>
      <c r="F31" s="3">
        <v>60</v>
      </c>
      <c r="G31" s="26">
        <v>82418.92</v>
      </c>
      <c r="H31" s="20">
        <f>+J31+L31+N31</f>
        <v>21</v>
      </c>
      <c r="I31" s="23">
        <f>+K31+M31+O31</f>
        <v>40612.47</v>
      </c>
      <c r="J31" s="24">
        <v>14</v>
      </c>
      <c r="K31" s="26">
        <v>25017.08</v>
      </c>
      <c r="L31" s="7">
        <v>5</v>
      </c>
      <c r="M31" s="25">
        <v>10720.04</v>
      </c>
      <c r="N31" s="3">
        <v>2</v>
      </c>
      <c r="O31" s="26">
        <v>4875.3500000000004</v>
      </c>
      <c r="P31" s="3">
        <v>4</v>
      </c>
      <c r="Q31" s="3">
        <v>4</v>
      </c>
      <c r="R31" s="6">
        <f>+Q31/P31</f>
        <v>1</v>
      </c>
      <c r="S31" s="3" t="s">
        <v>60</v>
      </c>
      <c r="T31" s="3" t="s">
        <v>59</v>
      </c>
      <c r="U31" s="3"/>
      <c r="V31" s="3"/>
      <c r="W31" s="3"/>
    </row>
    <row r="32" spans="2:23">
      <c r="B32" s="3" t="str">
        <f t="shared" si="0"/>
        <v>sep</v>
      </c>
      <c r="C32" s="3">
        <f t="shared" si="1"/>
        <v>39</v>
      </c>
      <c r="D32" s="4">
        <v>46289</v>
      </c>
      <c r="E32" s="3">
        <v>1</v>
      </c>
      <c r="F32" s="3">
        <v>63</v>
      </c>
      <c r="G32" s="26">
        <v>87782.97</v>
      </c>
      <c r="H32" s="20">
        <f>+J32+L32+N32</f>
        <v>22</v>
      </c>
      <c r="I32" s="23">
        <f>+K32+M32+O32</f>
        <v>41975</v>
      </c>
      <c r="J32" s="24">
        <v>19</v>
      </c>
      <c r="K32" s="26">
        <v>37579.440000000002</v>
      </c>
      <c r="L32" s="7">
        <v>3</v>
      </c>
      <c r="M32" s="25">
        <v>4395.5600000000004</v>
      </c>
      <c r="N32" s="3">
        <v>0</v>
      </c>
      <c r="O32" s="3"/>
      <c r="P32" s="3">
        <v>4</v>
      </c>
      <c r="Q32" s="3"/>
      <c r="R32" s="6">
        <f>+Q32/P32</f>
        <v>0</v>
      </c>
      <c r="S32" s="3" t="s">
        <v>61</v>
      </c>
      <c r="T32" s="3" t="s">
        <v>62</v>
      </c>
      <c r="U32" s="3" t="s">
        <v>63</v>
      </c>
      <c r="V32" s="3"/>
      <c r="W32" s="3"/>
    </row>
    <row r="33" spans="2:23">
      <c r="B33" s="3" t="str">
        <f t="shared" si="0"/>
        <v>sep</v>
      </c>
      <c r="C33" s="3">
        <f t="shared" si="1"/>
        <v>39</v>
      </c>
      <c r="D33" s="4">
        <v>46290</v>
      </c>
      <c r="E33" s="3"/>
      <c r="F33" s="3"/>
      <c r="G33" s="3"/>
      <c r="H33" s="20">
        <f>+J33+L33+N33</f>
        <v>0</v>
      </c>
      <c r="I33" s="23">
        <f>+K33+M33+O33</f>
        <v>0</v>
      </c>
      <c r="J33" s="24"/>
      <c r="K33" s="3"/>
      <c r="L33" s="7"/>
      <c r="M33" s="6"/>
      <c r="N33" s="3"/>
      <c r="O33" s="4"/>
      <c r="P33" s="52"/>
      <c r="Q33" s="3"/>
      <c r="R33" s="6" t="e">
        <f>+Q33/P33</f>
        <v>#DIV/0!</v>
      </c>
      <c r="S33" s="3"/>
      <c r="T33" s="3"/>
      <c r="U33" s="3"/>
      <c r="V33" s="3"/>
      <c r="W33" s="3"/>
    </row>
    <row r="34" spans="2:23">
      <c r="B34" s="3" t="str">
        <f t="shared" si="0"/>
        <v>sep</v>
      </c>
      <c r="C34" s="3">
        <f t="shared" si="1"/>
        <v>39</v>
      </c>
      <c r="D34" s="4">
        <v>46291</v>
      </c>
      <c r="E34" s="3"/>
      <c r="F34" s="3"/>
      <c r="G34" s="3"/>
      <c r="H34" s="20">
        <f>+J34+L34+N34</f>
        <v>0</v>
      </c>
      <c r="I34" s="23">
        <f>+K34+M34+O34</f>
        <v>0</v>
      </c>
      <c r="J34" s="24"/>
      <c r="K34" s="3"/>
      <c r="L34" s="7"/>
      <c r="M34" s="6"/>
      <c r="N34" s="3"/>
      <c r="O34" s="4"/>
      <c r="P34" s="52"/>
      <c r="Q34" s="3"/>
      <c r="R34" s="6" t="e">
        <f>+Q34/P34</f>
        <v>#DIV/0!</v>
      </c>
      <c r="S34" s="3"/>
      <c r="T34" s="3"/>
      <c r="U34" s="3"/>
      <c r="V34" s="3"/>
      <c r="W34" s="3"/>
    </row>
    <row r="35" spans="2:23">
      <c r="B35" s="3" t="str">
        <f t="shared" si="0"/>
        <v>sep</v>
      </c>
      <c r="C35" s="3">
        <f t="shared" si="1"/>
        <v>40</v>
      </c>
      <c r="D35" s="4">
        <v>46292</v>
      </c>
      <c r="E35" s="3"/>
      <c r="F35" s="3"/>
      <c r="G35" s="3"/>
      <c r="H35" s="20">
        <f>+J35+L35+N35</f>
        <v>0</v>
      </c>
      <c r="I35" s="23">
        <f>+K35+M35+O35</f>
        <v>0</v>
      </c>
      <c r="J35" s="24"/>
      <c r="K35" s="3"/>
      <c r="L35" s="7"/>
      <c r="M35" s="6"/>
      <c r="N35" s="3"/>
      <c r="O35" s="7"/>
      <c r="P35" s="52"/>
      <c r="Q35" s="3"/>
      <c r="R35" s="6" t="e">
        <f>+Q35/P35</f>
        <v>#DIV/0!</v>
      </c>
      <c r="S35" s="3"/>
      <c r="T35" s="3"/>
      <c r="U35" s="3"/>
      <c r="V35" s="3"/>
      <c r="W35" s="3"/>
    </row>
    <row r="36" spans="2:23">
      <c r="B36" s="3" t="str">
        <f t="shared" si="0"/>
        <v>sep</v>
      </c>
      <c r="C36" s="3">
        <f t="shared" si="1"/>
        <v>40</v>
      </c>
      <c r="D36" s="4">
        <v>46293</v>
      </c>
      <c r="E36" s="3"/>
      <c r="F36" s="3"/>
      <c r="G36" s="3"/>
      <c r="H36" s="20">
        <f>+J36+L36+N36</f>
        <v>0</v>
      </c>
      <c r="I36" s="23">
        <f>+K36+M36+O36</f>
        <v>0</v>
      </c>
      <c r="J36" s="24"/>
      <c r="K36" s="3"/>
      <c r="L36" s="7"/>
      <c r="M36" s="6"/>
      <c r="N36" s="3"/>
      <c r="O36" s="7"/>
      <c r="P36" s="52"/>
      <c r="Q36" s="3"/>
      <c r="R36" s="6" t="e">
        <f>+Q36/P36</f>
        <v>#DIV/0!</v>
      </c>
      <c r="S36" s="3"/>
      <c r="T36" s="3"/>
      <c r="U36" s="3"/>
      <c r="V36" s="3"/>
      <c r="W36" s="3"/>
    </row>
    <row r="37" spans="2:23">
      <c r="B37" s="3" t="str">
        <f t="shared" si="0"/>
        <v>sep</v>
      </c>
      <c r="C37" s="3">
        <f t="shared" si="1"/>
        <v>40</v>
      </c>
      <c r="D37" s="4">
        <v>46294</v>
      </c>
      <c r="E37" s="3"/>
      <c r="F37" s="3"/>
      <c r="G37" s="3"/>
      <c r="H37" s="20">
        <f>+J37+L37+N37</f>
        <v>0</v>
      </c>
      <c r="I37" s="23">
        <f>+K37+M37+O37</f>
        <v>0</v>
      </c>
      <c r="J37" s="24"/>
      <c r="K37" s="3"/>
      <c r="L37" s="7"/>
      <c r="M37" s="6"/>
      <c r="N37" s="3"/>
      <c r="O37" s="7"/>
      <c r="P37" s="3"/>
      <c r="Q37" s="3"/>
      <c r="R37" s="6" t="e">
        <f>+Q37/P37</f>
        <v>#DIV/0!</v>
      </c>
      <c r="S37" s="3"/>
      <c r="T37" s="3"/>
      <c r="U37" s="3"/>
      <c r="V37" s="3"/>
      <c r="W37" s="3"/>
    </row>
    <row r="38" spans="2:23">
      <c r="B38" s="3" t="str">
        <f t="shared" si="0"/>
        <v>sep</v>
      </c>
      <c r="C38" s="3">
        <f t="shared" si="1"/>
        <v>40</v>
      </c>
      <c r="D38" s="4">
        <v>46295</v>
      </c>
      <c r="E38" s="3"/>
      <c r="F38" s="3"/>
      <c r="G38" s="3"/>
      <c r="H38" s="20">
        <f>+J38+L38+N38</f>
        <v>0</v>
      </c>
      <c r="I38" s="23">
        <f>+K38+M38+O38</f>
        <v>0</v>
      </c>
      <c r="J38" s="24"/>
      <c r="K38" s="3"/>
      <c r="L38" s="7"/>
      <c r="M38" s="6"/>
      <c r="N38" s="3"/>
      <c r="O38" s="7"/>
      <c r="P38" s="3"/>
      <c r="Q38" s="3"/>
      <c r="R38" s="6" t="e">
        <f>+Q38/P38</f>
        <v>#DIV/0!</v>
      </c>
      <c r="S38" s="3"/>
      <c r="T38" s="3"/>
      <c r="U38" s="3"/>
      <c r="V38" s="3"/>
      <c r="W38" s="3"/>
    </row>
    <row r="39" spans="2:23">
      <c r="B39" s="3" t="str">
        <f t="shared" si="0"/>
        <v>oct</v>
      </c>
      <c r="C39" s="3">
        <f t="shared" si="1"/>
        <v>40</v>
      </c>
      <c r="D39" s="4">
        <v>46296</v>
      </c>
      <c r="E39" s="3"/>
      <c r="F39" s="3"/>
      <c r="G39" s="3"/>
      <c r="H39" s="20">
        <f>+J39+L39+N39</f>
        <v>0</v>
      </c>
      <c r="I39" s="23">
        <f>+K39+M39+O39</f>
        <v>0</v>
      </c>
      <c r="J39" s="24"/>
      <c r="K39" s="3"/>
      <c r="L39" s="7"/>
      <c r="M39" s="6"/>
      <c r="N39" s="3"/>
      <c r="O39" s="7"/>
      <c r="P39" s="3"/>
      <c r="Q39" s="3"/>
      <c r="R39" s="6" t="e">
        <f>+Q39/P39</f>
        <v>#DIV/0!</v>
      </c>
      <c r="S39" s="3"/>
      <c r="T39" s="3"/>
      <c r="U39" s="3"/>
      <c r="V39" s="3"/>
      <c r="W39" s="3"/>
    </row>
    <row r="40" spans="2:23">
      <c r="B40" s="3" t="str">
        <f t="shared" si="0"/>
        <v>oct</v>
      </c>
      <c r="C40" s="3">
        <f t="shared" si="1"/>
        <v>40</v>
      </c>
      <c r="D40" s="4">
        <v>46297</v>
      </c>
      <c r="E40" s="3"/>
      <c r="F40" s="3"/>
      <c r="G40" s="3"/>
      <c r="H40" s="20">
        <f>+J40+L40+N40</f>
        <v>0</v>
      </c>
      <c r="I40" s="23">
        <f>+K40+M40+O40</f>
        <v>0</v>
      </c>
      <c r="J40" s="24"/>
      <c r="K40" s="3"/>
      <c r="L40" s="7"/>
      <c r="M40" s="6"/>
      <c r="N40" s="3"/>
      <c r="O40" s="7"/>
      <c r="P40" s="3"/>
      <c r="Q40" s="3"/>
      <c r="R40" s="6" t="e">
        <f>+Q40/P40</f>
        <v>#DIV/0!</v>
      </c>
      <c r="S40" s="3"/>
      <c r="T40" s="3"/>
      <c r="U40" s="3"/>
      <c r="V40" s="3"/>
      <c r="W40" s="3"/>
    </row>
    <row r="41" spans="2:23">
      <c r="B41" s="3" t="str">
        <f t="shared" si="0"/>
        <v>oct</v>
      </c>
      <c r="C41" s="3">
        <f t="shared" si="1"/>
        <v>40</v>
      </c>
      <c r="D41" s="4">
        <v>46298</v>
      </c>
      <c r="E41" s="3"/>
      <c r="F41" s="3"/>
      <c r="G41" s="3"/>
      <c r="H41" s="20">
        <f>+J41+L41+N41</f>
        <v>0</v>
      </c>
      <c r="I41" s="23">
        <f>+K41+M41+O41</f>
        <v>0</v>
      </c>
      <c r="J41" s="24"/>
      <c r="K41" s="3"/>
      <c r="L41" s="7"/>
      <c r="M41" s="6"/>
      <c r="N41" s="3"/>
      <c r="O41" s="7"/>
      <c r="P41" s="3"/>
      <c r="Q41" s="3"/>
      <c r="R41" s="6" t="e">
        <f>+Q41/P41</f>
        <v>#DIV/0!</v>
      </c>
      <c r="S41" s="3"/>
      <c r="T41" s="3"/>
      <c r="U41" s="3"/>
      <c r="V41" s="3"/>
      <c r="W41" s="3"/>
    </row>
    <row r="42" spans="2:23">
      <c r="B42" s="3" t="str">
        <f t="shared" si="0"/>
        <v>oct</v>
      </c>
      <c r="C42" s="3">
        <f t="shared" si="1"/>
        <v>41</v>
      </c>
      <c r="D42" s="4">
        <v>46299</v>
      </c>
      <c r="E42" s="3"/>
      <c r="F42" s="3"/>
      <c r="G42" s="3"/>
      <c r="H42" s="20">
        <f>+J42+L42+N42</f>
        <v>0</v>
      </c>
      <c r="I42" s="23">
        <f>+K42+M42+O42</f>
        <v>0</v>
      </c>
      <c r="J42" s="24"/>
      <c r="K42" s="3"/>
      <c r="L42" s="7"/>
      <c r="M42" s="6"/>
      <c r="N42" s="3"/>
      <c r="O42" s="7"/>
      <c r="P42" s="3"/>
      <c r="Q42" s="3"/>
      <c r="R42" s="6" t="e">
        <f>+Q42/P42</f>
        <v>#DIV/0!</v>
      </c>
      <c r="S42" s="3"/>
      <c r="T42" s="3"/>
      <c r="U42" s="3"/>
      <c r="V42" s="3"/>
      <c r="W42" s="3"/>
    </row>
    <row r="43" spans="2:23">
      <c r="B43" s="3" t="str">
        <f t="shared" si="0"/>
        <v>oct</v>
      </c>
      <c r="C43" s="3">
        <f t="shared" si="1"/>
        <v>41</v>
      </c>
      <c r="D43" s="4">
        <v>46300</v>
      </c>
      <c r="E43" s="3"/>
      <c r="F43" s="3"/>
      <c r="G43" s="3"/>
      <c r="H43" s="20">
        <f>+J43+L43+N43</f>
        <v>0</v>
      </c>
      <c r="I43" s="23">
        <f>+K43+M43+O43</f>
        <v>0</v>
      </c>
      <c r="J43" s="24"/>
      <c r="K43" s="3"/>
      <c r="L43" s="7"/>
      <c r="M43" s="6"/>
      <c r="N43" s="3"/>
      <c r="O43" s="7"/>
      <c r="P43" s="3"/>
      <c r="Q43" s="3"/>
      <c r="R43" s="6" t="e">
        <f>+Q43/P43</f>
        <v>#DIV/0!</v>
      </c>
      <c r="S43" s="3"/>
      <c r="T43" s="3"/>
      <c r="U43" s="3"/>
      <c r="V43" s="3"/>
      <c r="W43" s="3"/>
    </row>
    <row r="44" spans="2:23">
      <c r="B44" s="3" t="str">
        <f t="shared" si="0"/>
        <v>oct</v>
      </c>
      <c r="C44" s="3">
        <f t="shared" si="1"/>
        <v>41</v>
      </c>
      <c r="D44" s="4">
        <v>46301</v>
      </c>
      <c r="E44" s="3"/>
      <c r="F44" s="3"/>
      <c r="G44" s="3"/>
      <c r="H44" s="20">
        <f>+J44+L44+N44</f>
        <v>0</v>
      </c>
      <c r="I44" s="23">
        <f>+K44+M44+O44</f>
        <v>0</v>
      </c>
      <c r="J44" s="24"/>
      <c r="K44" s="3"/>
      <c r="L44" s="7"/>
      <c r="M44" s="6"/>
      <c r="N44" s="3"/>
      <c r="O44" s="7"/>
      <c r="P44" s="3"/>
      <c r="Q44" s="3"/>
      <c r="R44" s="6" t="e">
        <f>+Q44/P44</f>
        <v>#DIV/0!</v>
      </c>
      <c r="S44" s="3"/>
      <c r="T44" s="3"/>
      <c r="U44" s="3"/>
      <c r="V44" s="3"/>
      <c r="W44" s="3"/>
    </row>
    <row r="45" spans="2:23">
      <c r="B45" s="3" t="str">
        <f t="shared" si="0"/>
        <v>oct</v>
      </c>
      <c r="C45" s="3">
        <f t="shared" si="1"/>
        <v>41</v>
      </c>
      <c r="D45" s="4">
        <v>46302</v>
      </c>
      <c r="E45" s="3"/>
      <c r="F45" s="3"/>
      <c r="G45" s="3"/>
      <c r="H45" s="20">
        <f>+J45+L45+N45</f>
        <v>0</v>
      </c>
      <c r="I45" s="23">
        <f>+K45+M45+O45</f>
        <v>0</v>
      </c>
      <c r="J45" s="24"/>
      <c r="K45" s="3"/>
      <c r="L45" s="7"/>
      <c r="M45" s="6"/>
      <c r="N45" s="3"/>
      <c r="O45" s="7"/>
      <c r="P45" s="3"/>
      <c r="Q45" s="3"/>
      <c r="R45" s="6" t="e">
        <f>+Q45/P45</f>
        <v>#DIV/0!</v>
      </c>
      <c r="S45" s="3"/>
      <c r="T45" s="3"/>
      <c r="U45" s="3"/>
      <c r="V45" s="3"/>
      <c r="W45" s="3"/>
    </row>
    <row r="46" spans="2:23">
      <c r="B46" s="3" t="str">
        <f t="shared" si="0"/>
        <v>oct</v>
      </c>
      <c r="C46" s="3">
        <f t="shared" si="1"/>
        <v>41</v>
      </c>
      <c r="D46" s="4">
        <v>46303</v>
      </c>
      <c r="E46" s="3"/>
      <c r="F46" s="3"/>
      <c r="G46" s="3"/>
      <c r="H46" s="20">
        <f>+J46+L46+N46</f>
        <v>0</v>
      </c>
      <c r="I46" s="23">
        <f>+K46+M46+O46</f>
        <v>0</v>
      </c>
      <c r="J46" s="6"/>
      <c r="K46" s="3"/>
      <c r="L46" s="7"/>
      <c r="M46" s="6"/>
      <c r="N46" s="3"/>
      <c r="O46" s="7"/>
      <c r="P46" s="3"/>
      <c r="Q46" s="3"/>
      <c r="R46" s="6" t="e">
        <f>+Q46/P46</f>
        <v>#DIV/0!</v>
      </c>
      <c r="S46" s="3"/>
      <c r="T46" s="3"/>
      <c r="U46" s="3"/>
      <c r="V46" s="3"/>
      <c r="W46" s="3"/>
    </row>
    <row r="47" spans="2:23">
      <c r="B47" s="3" t="str">
        <f t="shared" si="0"/>
        <v>oct</v>
      </c>
      <c r="C47" s="3">
        <f t="shared" si="1"/>
        <v>41</v>
      </c>
      <c r="D47" s="4">
        <v>46304</v>
      </c>
      <c r="E47" s="3"/>
      <c r="F47" s="3"/>
      <c r="G47" s="3"/>
      <c r="H47" s="20">
        <f>+J47+L47+N47</f>
        <v>0</v>
      </c>
      <c r="I47" s="23">
        <f>+K47+M47+O47</f>
        <v>0</v>
      </c>
      <c r="J47" s="6"/>
      <c r="K47" s="3"/>
      <c r="L47" s="7"/>
      <c r="M47" s="6"/>
      <c r="N47" s="3"/>
      <c r="O47" s="7"/>
      <c r="P47" s="3"/>
      <c r="Q47" s="3"/>
      <c r="R47" s="6" t="e">
        <f>+Q47/P47</f>
        <v>#DIV/0!</v>
      </c>
      <c r="S47" s="3"/>
      <c r="T47" s="3"/>
      <c r="U47" s="3"/>
      <c r="V47" s="3"/>
      <c r="W47" s="3"/>
    </row>
    <row r="48" spans="2:23">
      <c r="B48" s="3" t="str">
        <f t="shared" si="0"/>
        <v>oct</v>
      </c>
      <c r="C48" s="3">
        <f t="shared" si="1"/>
        <v>41</v>
      </c>
      <c r="D48" s="4">
        <v>46305</v>
      </c>
      <c r="E48" s="3"/>
      <c r="F48" s="3"/>
      <c r="G48" s="3"/>
      <c r="H48" s="20">
        <f>+J48+L48+N48</f>
        <v>0</v>
      </c>
      <c r="I48" s="23">
        <f>+K48+M48+O48</f>
        <v>0</v>
      </c>
      <c r="J48" s="6"/>
      <c r="K48" s="3"/>
      <c r="L48" s="7"/>
      <c r="M48" s="6"/>
      <c r="N48" s="3"/>
      <c r="O48" s="7"/>
      <c r="P48" s="3"/>
      <c r="Q48" s="3"/>
      <c r="R48" s="6" t="e">
        <f>+Q48/P48</f>
        <v>#DIV/0!</v>
      </c>
      <c r="S48" s="3"/>
      <c r="T48" s="3"/>
      <c r="U48" s="3"/>
      <c r="V48" s="3"/>
      <c r="W48" s="3"/>
    </row>
    <row r="49" spans="2:23">
      <c r="B49" s="3" t="str">
        <f t="shared" si="0"/>
        <v>oct</v>
      </c>
      <c r="C49" s="3">
        <f t="shared" si="1"/>
        <v>42</v>
      </c>
      <c r="D49" s="4">
        <v>46306</v>
      </c>
      <c r="E49" s="3"/>
      <c r="F49" s="3"/>
      <c r="G49" s="3"/>
      <c r="H49" s="20">
        <f>+J49+L49+N49</f>
        <v>0</v>
      </c>
      <c r="I49" s="23">
        <f>+K49+M49+O49</f>
        <v>0</v>
      </c>
      <c r="J49" s="6"/>
      <c r="K49" s="3"/>
      <c r="L49" s="7"/>
      <c r="M49" s="6"/>
      <c r="N49" s="3"/>
      <c r="O49" s="7"/>
      <c r="P49" s="3"/>
      <c r="Q49" s="3"/>
      <c r="R49" s="6" t="e">
        <f>+Q49/P49</f>
        <v>#DIV/0!</v>
      </c>
      <c r="S49" s="3"/>
      <c r="T49" s="3"/>
      <c r="U49" s="3"/>
      <c r="V49" s="3"/>
      <c r="W49" s="3"/>
    </row>
    <row r="50" spans="2:23">
      <c r="B50" s="3" t="str">
        <f t="shared" si="0"/>
        <v>oct</v>
      </c>
      <c r="C50" s="3">
        <f t="shared" si="1"/>
        <v>42</v>
      </c>
      <c r="D50" s="4">
        <v>46307</v>
      </c>
      <c r="E50" s="3"/>
      <c r="F50" s="3"/>
      <c r="G50" s="3"/>
      <c r="H50" s="20">
        <f>+J50+L50+N50</f>
        <v>0</v>
      </c>
      <c r="I50" s="23">
        <f>+K50+M50+O50</f>
        <v>0</v>
      </c>
      <c r="J50" s="6"/>
      <c r="K50" s="3"/>
      <c r="L50" s="7"/>
      <c r="M50" s="6"/>
      <c r="N50" s="3"/>
      <c r="O50" s="7"/>
      <c r="P50" s="3"/>
      <c r="Q50" s="3"/>
      <c r="R50" s="6" t="e">
        <f>+Q50/P50</f>
        <v>#DIV/0!</v>
      </c>
      <c r="S50" s="3"/>
      <c r="T50" s="3"/>
      <c r="U50" s="3"/>
      <c r="V50" s="3"/>
      <c r="W50" s="3"/>
    </row>
    <row r="51" spans="2:23">
      <c r="B51" s="3" t="str">
        <f t="shared" si="0"/>
        <v>oct</v>
      </c>
      <c r="C51" s="3">
        <f t="shared" si="1"/>
        <v>42</v>
      </c>
      <c r="D51" s="4">
        <v>46308</v>
      </c>
      <c r="E51" s="3"/>
      <c r="F51" s="3"/>
      <c r="G51" s="3"/>
      <c r="H51" s="20">
        <f>+J51+L51+N51</f>
        <v>0</v>
      </c>
      <c r="I51" s="23">
        <f>+K51+M51+O51</f>
        <v>0</v>
      </c>
      <c r="J51" s="6"/>
      <c r="K51" s="3"/>
      <c r="L51" s="7"/>
      <c r="M51" s="6"/>
      <c r="N51" s="3"/>
      <c r="O51" s="7"/>
      <c r="P51" s="3"/>
      <c r="Q51" s="3"/>
      <c r="R51" s="6" t="e">
        <f>+Q51/P51</f>
        <v>#DIV/0!</v>
      </c>
      <c r="S51" s="3"/>
      <c r="T51" s="3"/>
      <c r="U51" s="3"/>
      <c r="V51" s="3"/>
      <c r="W51" s="3"/>
    </row>
    <row r="52" spans="2:23">
      <c r="B52" s="3" t="str">
        <f t="shared" si="0"/>
        <v>oct</v>
      </c>
      <c r="C52" s="3">
        <f t="shared" si="1"/>
        <v>42</v>
      </c>
      <c r="D52" s="4">
        <v>46309</v>
      </c>
      <c r="E52" s="3"/>
      <c r="F52" s="3"/>
      <c r="G52" s="3"/>
      <c r="H52" s="20">
        <f>+J52+L52+N52</f>
        <v>0</v>
      </c>
      <c r="I52" s="23">
        <f>+K52+M52+O52</f>
        <v>0</v>
      </c>
      <c r="J52" s="6"/>
      <c r="K52" s="3"/>
      <c r="L52" s="7"/>
      <c r="M52" s="6"/>
      <c r="N52" s="3"/>
      <c r="O52" s="7"/>
      <c r="P52" s="3"/>
      <c r="Q52" s="3"/>
      <c r="R52" s="6" t="e">
        <f>+Q52/P52</f>
        <v>#DIV/0!</v>
      </c>
      <c r="S52" s="3"/>
      <c r="T52" s="3"/>
      <c r="U52" s="3"/>
      <c r="V52" s="3"/>
      <c r="W52" s="3"/>
    </row>
    <row r="53" spans="2:23">
      <c r="B53" s="3" t="str">
        <f t="shared" si="0"/>
        <v>oct</v>
      </c>
      <c r="C53" s="3">
        <f t="shared" si="1"/>
        <v>42</v>
      </c>
      <c r="D53" s="4">
        <v>46310</v>
      </c>
      <c r="E53" s="3"/>
      <c r="F53" s="3"/>
      <c r="G53" s="3"/>
      <c r="H53" s="20">
        <f>+J53+L53+N53</f>
        <v>0</v>
      </c>
      <c r="I53" s="23">
        <f>+K53+M53+O53</f>
        <v>0</v>
      </c>
      <c r="J53" s="6"/>
      <c r="K53" s="3"/>
      <c r="L53" s="7"/>
      <c r="M53" s="6"/>
      <c r="N53" s="3"/>
      <c r="O53" s="7"/>
      <c r="P53" s="3"/>
      <c r="Q53" s="3"/>
      <c r="R53" s="6" t="e">
        <f>+Q53/P53</f>
        <v>#DIV/0!</v>
      </c>
      <c r="S53" s="3"/>
      <c r="T53" s="3"/>
      <c r="U53" s="3"/>
      <c r="V53" s="3"/>
      <c r="W53" s="3"/>
    </row>
    <row r="54" spans="2:23">
      <c r="B54" s="3" t="str">
        <f t="shared" si="0"/>
        <v>oct</v>
      </c>
      <c r="C54" s="3">
        <f t="shared" si="1"/>
        <v>42</v>
      </c>
      <c r="D54" s="4">
        <v>46311</v>
      </c>
      <c r="E54" s="3"/>
      <c r="F54" s="3"/>
      <c r="G54" s="3"/>
      <c r="H54" s="20">
        <f>+J54+L54+N54</f>
        <v>0</v>
      </c>
      <c r="I54" s="23">
        <f>+K54+M54+O54</f>
        <v>0</v>
      </c>
      <c r="J54" s="6"/>
      <c r="K54" s="3"/>
      <c r="L54" s="7"/>
      <c r="M54" s="6"/>
      <c r="N54" s="3"/>
      <c r="O54" s="7"/>
      <c r="P54" s="3"/>
      <c r="Q54" s="3"/>
      <c r="R54" s="6" t="e">
        <f>+Q54/P54</f>
        <v>#DIV/0!</v>
      </c>
      <c r="S54" s="3"/>
      <c r="T54" s="3"/>
      <c r="U54" s="3"/>
      <c r="V54" s="3"/>
      <c r="W54" s="3"/>
    </row>
    <row r="55" spans="2:23">
      <c r="B55" s="3" t="str">
        <f t="shared" si="0"/>
        <v>oct</v>
      </c>
      <c r="C55" s="3">
        <f t="shared" si="1"/>
        <v>42</v>
      </c>
      <c r="D55" s="4">
        <v>46312</v>
      </c>
      <c r="E55" s="3"/>
      <c r="F55" s="3"/>
      <c r="G55" s="3"/>
      <c r="H55" s="20">
        <f>+J55+L55+N55</f>
        <v>0</v>
      </c>
      <c r="I55" s="23">
        <f>+K55+M55+O55</f>
        <v>0</v>
      </c>
      <c r="J55" s="6"/>
      <c r="K55" s="3"/>
      <c r="L55" s="7"/>
      <c r="M55" s="6"/>
      <c r="N55" s="3"/>
      <c r="O55" s="7"/>
      <c r="P55" s="3"/>
      <c r="Q55" s="3"/>
      <c r="R55" s="6" t="e">
        <f>+Q55/P55</f>
        <v>#DIV/0!</v>
      </c>
      <c r="S55" s="3"/>
      <c r="T55" s="3"/>
      <c r="U55" s="3"/>
      <c r="V55" s="3"/>
      <c r="W55" s="3"/>
    </row>
    <row r="56" spans="2:23">
      <c r="B56" s="3" t="str">
        <f t="shared" si="0"/>
        <v>oct</v>
      </c>
      <c r="C56" s="3">
        <f t="shared" si="1"/>
        <v>43</v>
      </c>
      <c r="D56" s="4">
        <v>46313</v>
      </c>
      <c r="E56" s="3"/>
      <c r="F56" s="3"/>
      <c r="G56" s="3"/>
      <c r="H56" s="20">
        <f>+J56+L56+N56</f>
        <v>0</v>
      </c>
      <c r="I56" s="23">
        <f>+K56+M56+O56</f>
        <v>0</v>
      </c>
      <c r="J56" s="6"/>
      <c r="K56" s="3"/>
      <c r="L56" s="7"/>
      <c r="M56" s="6"/>
      <c r="N56" s="3"/>
      <c r="O56" s="7"/>
      <c r="P56" s="3"/>
      <c r="Q56" s="3"/>
      <c r="R56" s="6" t="e">
        <f>+Q56/P56</f>
        <v>#DIV/0!</v>
      </c>
      <c r="S56" s="3"/>
      <c r="T56" s="3"/>
      <c r="U56" s="3"/>
      <c r="V56" s="3"/>
      <c r="W56" s="3"/>
    </row>
    <row r="57" spans="2:23">
      <c r="B57" s="3" t="str">
        <f t="shared" si="0"/>
        <v>oct</v>
      </c>
      <c r="C57" s="3">
        <f t="shared" si="1"/>
        <v>43</v>
      </c>
      <c r="D57" s="4">
        <v>46314</v>
      </c>
      <c r="E57" s="3"/>
      <c r="F57" s="3"/>
      <c r="G57" s="3"/>
      <c r="H57" s="20">
        <f>+J57+L57+N57</f>
        <v>0</v>
      </c>
      <c r="I57" s="23">
        <f>+K57+M57+O57</f>
        <v>0</v>
      </c>
      <c r="J57" s="6"/>
      <c r="K57" s="3"/>
      <c r="L57" s="7"/>
      <c r="M57" s="6"/>
      <c r="N57" s="3"/>
      <c r="O57" s="7"/>
      <c r="P57" s="3"/>
      <c r="Q57" s="3"/>
      <c r="R57" s="6" t="e">
        <f>+Q57/P57</f>
        <v>#DIV/0!</v>
      </c>
      <c r="S57" s="3"/>
      <c r="T57" s="3"/>
      <c r="U57" s="3"/>
      <c r="V57" s="3"/>
      <c r="W57" s="3"/>
    </row>
    <row r="58" spans="2:23">
      <c r="B58" s="3" t="str">
        <f t="shared" si="0"/>
        <v>oct</v>
      </c>
      <c r="C58" s="3">
        <f t="shared" si="1"/>
        <v>43</v>
      </c>
      <c r="D58" s="4">
        <v>46315</v>
      </c>
      <c r="E58" s="3"/>
      <c r="F58" s="3"/>
      <c r="G58" s="3"/>
      <c r="H58" s="20">
        <f>+J58+L58+N58</f>
        <v>0</v>
      </c>
      <c r="I58" s="23">
        <f>+K58+M58+O58</f>
        <v>0</v>
      </c>
      <c r="J58" s="6"/>
      <c r="K58" s="3"/>
      <c r="L58" s="7"/>
      <c r="M58" s="6"/>
      <c r="N58" s="3"/>
      <c r="O58" s="7"/>
      <c r="P58" s="3"/>
      <c r="Q58" s="3"/>
      <c r="R58" s="6" t="e">
        <f>+Q58/P58</f>
        <v>#DIV/0!</v>
      </c>
      <c r="S58" s="3"/>
      <c r="T58" s="3"/>
      <c r="U58" s="3"/>
      <c r="V58" s="3"/>
      <c r="W58" s="3"/>
    </row>
    <row r="59" spans="2:23">
      <c r="B59" s="3" t="str">
        <f t="shared" si="0"/>
        <v>oct</v>
      </c>
      <c r="C59" s="3">
        <f t="shared" si="1"/>
        <v>43</v>
      </c>
      <c r="D59" s="4">
        <v>46316</v>
      </c>
      <c r="E59" s="3"/>
      <c r="F59" s="3"/>
      <c r="G59" s="3"/>
      <c r="H59" s="20">
        <f>+J59+L59+N59</f>
        <v>0</v>
      </c>
      <c r="I59" s="23">
        <f>+K59+M59+O59</f>
        <v>0</v>
      </c>
      <c r="J59" s="6"/>
      <c r="K59" s="3"/>
      <c r="L59" s="7"/>
      <c r="M59" s="6"/>
      <c r="N59" s="3"/>
      <c r="O59" s="7"/>
      <c r="P59" s="3"/>
      <c r="Q59" s="3"/>
      <c r="R59" s="6" t="e">
        <f>+Q59/P59</f>
        <v>#DIV/0!</v>
      </c>
      <c r="S59" s="3"/>
      <c r="T59" s="3"/>
      <c r="U59" s="3"/>
      <c r="V59" s="3"/>
      <c r="W59" s="3"/>
    </row>
    <row r="60" spans="2:23">
      <c r="B60" s="3" t="str">
        <f t="shared" si="0"/>
        <v>oct</v>
      </c>
      <c r="C60" s="3">
        <f t="shared" si="1"/>
        <v>43</v>
      </c>
      <c r="D60" s="4">
        <v>46317</v>
      </c>
      <c r="E60" s="3"/>
      <c r="F60" s="3"/>
      <c r="G60" s="3"/>
      <c r="H60" s="20">
        <f>+J60+L60+N60</f>
        <v>0</v>
      </c>
      <c r="I60" s="23">
        <f>+K60+M60+O60</f>
        <v>0</v>
      </c>
      <c r="J60" s="6"/>
      <c r="K60" s="3"/>
      <c r="L60" s="7"/>
      <c r="M60" s="6"/>
      <c r="N60" s="3"/>
      <c r="O60" s="7"/>
      <c r="P60" s="3"/>
      <c r="Q60" s="3"/>
      <c r="R60" s="6" t="e">
        <f>+Q60/P60</f>
        <v>#DIV/0!</v>
      </c>
      <c r="S60" s="3"/>
      <c r="T60" s="3"/>
      <c r="U60" s="3"/>
      <c r="V60" s="3"/>
      <c r="W60" s="3"/>
    </row>
    <row r="61" spans="2:23">
      <c r="B61" s="3" t="str">
        <f t="shared" si="0"/>
        <v>oct</v>
      </c>
      <c r="C61" s="3">
        <f t="shared" si="1"/>
        <v>43</v>
      </c>
      <c r="D61" s="4">
        <v>46318</v>
      </c>
      <c r="E61" s="3"/>
      <c r="F61" s="3"/>
      <c r="G61" s="3"/>
      <c r="H61" s="20">
        <f>+J61+L61+N61</f>
        <v>0</v>
      </c>
      <c r="I61" s="23">
        <f>+K61+M61+O61</f>
        <v>0</v>
      </c>
      <c r="J61" s="6"/>
      <c r="K61" s="3"/>
      <c r="L61" s="7"/>
      <c r="M61" s="6"/>
      <c r="N61" s="3"/>
      <c r="O61" s="7"/>
      <c r="P61" s="3"/>
      <c r="Q61" s="3"/>
      <c r="R61" s="6" t="e">
        <f>+Q61/P61</f>
        <v>#DIV/0!</v>
      </c>
      <c r="S61" s="3"/>
      <c r="T61" s="3"/>
      <c r="U61" s="3"/>
      <c r="V61" s="3"/>
      <c r="W61" s="3"/>
    </row>
    <row r="62" spans="2:23">
      <c r="B62" s="3" t="str">
        <f t="shared" si="0"/>
        <v>oct</v>
      </c>
      <c r="C62" s="3">
        <f t="shared" si="1"/>
        <v>43</v>
      </c>
      <c r="D62" s="4">
        <v>46319</v>
      </c>
      <c r="E62" s="3"/>
      <c r="F62" s="3"/>
      <c r="G62" s="3"/>
      <c r="H62" s="20">
        <f>+J62+L62+N62</f>
        <v>0</v>
      </c>
      <c r="I62" s="23">
        <f>+K62+M62+O62</f>
        <v>0</v>
      </c>
      <c r="J62" s="6"/>
      <c r="K62" s="3"/>
      <c r="L62" s="7"/>
      <c r="M62" s="6"/>
      <c r="N62" s="3"/>
      <c r="O62" s="7"/>
      <c r="P62" s="3"/>
      <c r="Q62" s="3"/>
      <c r="R62" s="6" t="e">
        <f>+Q62/P62</f>
        <v>#DIV/0!</v>
      </c>
      <c r="S62" s="3"/>
      <c r="T62" s="3"/>
      <c r="U62" s="3"/>
      <c r="V62" s="3"/>
      <c r="W62" s="3"/>
    </row>
    <row r="63" spans="2:23">
      <c r="B63" s="3" t="str">
        <f t="shared" si="0"/>
        <v>oct</v>
      </c>
      <c r="C63" s="3">
        <f t="shared" si="1"/>
        <v>44</v>
      </c>
      <c r="D63" s="4">
        <v>46320</v>
      </c>
      <c r="E63" s="3"/>
      <c r="F63" s="3"/>
      <c r="G63" s="3"/>
      <c r="H63" s="20">
        <f>+J63+L63+N63</f>
        <v>0</v>
      </c>
      <c r="I63" s="23">
        <f>+K63+M63+O63</f>
        <v>0</v>
      </c>
      <c r="J63" s="6"/>
      <c r="K63" s="3"/>
      <c r="L63" s="7"/>
      <c r="M63" s="6"/>
      <c r="N63" s="3"/>
      <c r="O63" s="7"/>
      <c r="P63" s="3"/>
      <c r="Q63" s="3"/>
      <c r="R63" s="6" t="e">
        <f>+Q63/P63</f>
        <v>#DIV/0!</v>
      </c>
      <c r="S63" s="3"/>
      <c r="T63" s="3"/>
      <c r="U63" s="3"/>
      <c r="V63" s="3"/>
      <c r="W63" s="3"/>
    </row>
    <row r="64" spans="2:23">
      <c r="B64" s="3" t="str">
        <f t="shared" si="0"/>
        <v>oct</v>
      </c>
      <c r="C64" s="3">
        <f t="shared" si="1"/>
        <v>44</v>
      </c>
      <c r="D64" s="4">
        <v>46321</v>
      </c>
      <c r="E64" s="3"/>
      <c r="F64" s="3"/>
      <c r="G64" s="3"/>
      <c r="H64" s="20">
        <f>+J64+L64+N64</f>
        <v>0</v>
      </c>
      <c r="I64" s="23">
        <f>+K64+M64+O64</f>
        <v>0</v>
      </c>
      <c r="J64" s="6"/>
      <c r="K64" s="3"/>
      <c r="L64" s="7"/>
      <c r="M64" s="6"/>
      <c r="N64" s="3"/>
      <c r="O64" s="7"/>
      <c r="P64" s="3"/>
      <c r="Q64" s="3"/>
      <c r="R64" s="6" t="e">
        <f>+Q64/P64</f>
        <v>#DIV/0!</v>
      </c>
      <c r="S64" s="3"/>
      <c r="T64" s="3"/>
      <c r="U64" s="3"/>
      <c r="V64" s="3"/>
      <c r="W64" s="3"/>
    </row>
    <row r="65" spans="2:23">
      <c r="B65" s="3" t="str">
        <f t="shared" si="0"/>
        <v>oct</v>
      </c>
      <c r="C65" s="3">
        <f t="shared" si="1"/>
        <v>44</v>
      </c>
      <c r="D65" s="4">
        <v>46322</v>
      </c>
      <c r="E65" s="3"/>
      <c r="F65" s="3"/>
      <c r="G65" s="3"/>
      <c r="H65" s="20">
        <f>+J65+L65+N65</f>
        <v>0</v>
      </c>
      <c r="I65" s="23">
        <f>+K65+M65+O65</f>
        <v>0</v>
      </c>
      <c r="J65" s="6"/>
      <c r="K65" s="3"/>
      <c r="L65" s="7"/>
      <c r="M65" s="6"/>
      <c r="N65" s="3"/>
      <c r="O65" s="7"/>
      <c r="P65" s="3"/>
      <c r="Q65" s="3"/>
      <c r="R65" s="6" t="e">
        <f>+Q65/P65</f>
        <v>#DIV/0!</v>
      </c>
      <c r="S65" s="3"/>
      <c r="T65" s="3"/>
      <c r="U65" s="3"/>
      <c r="V65" s="3"/>
      <c r="W65" s="3"/>
    </row>
    <row r="66" spans="2:23">
      <c r="B66" s="3" t="str">
        <f t="shared" si="0"/>
        <v>oct</v>
      </c>
      <c r="C66" s="3">
        <f t="shared" si="1"/>
        <v>44</v>
      </c>
      <c r="D66" s="4">
        <v>46323</v>
      </c>
      <c r="E66" s="3"/>
      <c r="F66" s="3"/>
      <c r="G66" s="3"/>
      <c r="H66" s="20">
        <f>+J66+L66+N66</f>
        <v>0</v>
      </c>
      <c r="I66" s="23">
        <f>+K66+M66+O66</f>
        <v>0</v>
      </c>
      <c r="J66" s="6"/>
      <c r="K66" s="3"/>
      <c r="L66" s="7"/>
      <c r="M66" s="6"/>
      <c r="N66" s="3"/>
      <c r="O66" s="7"/>
      <c r="P66" s="3"/>
      <c r="Q66" s="3"/>
      <c r="R66" s="6" t="e">
        <f>+Q66/P66</f>
        <v>#DIV/0!</v>
      </c>
      <c r="S66" s="3"/>
      <c r="T66" s="3"/>
      <c r="U66" s="3"/>
      <c r="V66" s="3"/>
      <c r="W66" s="3"/>
    </row>
    <row r="67" spans="2:23">
      <c r="B67" s="3" t="str">
        <f t="shared" si="0"/>
        <v>oct</v>
      </c>
      <c r="C67" s="3">
        <f t="shared" si="1"/>
        <v>44</v>
      </c>
      <c r="D67" s="4">
        <v>46324</v>
      </c>
      <c r="E67" s="3"/>
      <c r="F67" s="3"/>
      <c r="G67" s="3"/>
      <c r="H67" s="20">
        <f>+J67+L67+N67</f>
        <v>0</v>
      </c>
      <c r="I67" s="23">
        <f>+K67+M67+O67</f>
        <v>0</v>
      </c>
      <c r="J67" s="6"/>
      <c r="K67" s="3"/>
      <c r="L67" s="7"/>
      <c r="M67" s="6"/>
      <c r="N67" s="3"/>
      <c r="O67" s="7"/>
      <c r="P67" s="3"/>
      <c r="Q67" s="3"/>
      <c r="R67" s="6" t="e">
        <f>+Q67/P67</f>
        <v>#DIV/0!</v>
      </c>
      <c r="S67" s="3"/>
      <c r="T67" s="3"/>
      <c r="U67" s="3"/>
      <c r="V67" s="3"/>
      <c r="W67" s="3"/>
    </row>
    <row r="68" spans="2:23">
      <c r="B68" s="3" t="str">
        <f t="shared" ref="B68:B131" si="2">+TEXT(D68,"MMM")</f>
        <v>oct</v>
      </c>
      <c r="C68" s="3">
        <f t="shared" ref="C68:C130" si="3">+WEEKNUM(D68)</f>
        <v>44</v>
      </c>
      <c r="D68" s="4">
        <v>46325</v>
      </c>
      <c r="E68" s="3"/>
      <c r="F68" s="3"/>
      <c r="G68" s="3"/>
      <c r="H68" s="20">
        <f>+J68+L68+N68</f>
        <v>0</v>
      </c>
      <c r="I68" s="23">
        <f>+K68+M68+O68</f>
        <v>0</v>
      </c>
      <c r="J68" s="6"/>
      <c r="K68" s="3"/>
      <c r="L68" s="7"/>
      <c r="M68" s="6"/>
      <c r="N68" s="3"/>
      <c r="O68" s="7"/>
      <c r="P68" s="3"/>
      <c r="Q68" s="3"/>
      <c r="R68" s="6" t="e">
        <f>+Q68/P68</f>
        <v>#DIV/0!</v>
      </c>
      <c r="S68" s="3"/>
      <c r="T68" s="3"/>
      <c r="U68" s="3"/>
      <c r="V68" s="3"/>
      <c r="W68" s="3"/>
    </row>
    <row r="69" spans="2:23">
      <c r="B69" s="3" t="str">
        <f t="shared" si="2"/>
        <v>oct</v>
      </c>
      <c r="C69" s="3">
        <f t="shared" si="3"/>
        <v>44</v>
      </c>
      <c r="D69" s="4">
        <v>46326</v>
      </c>
      <c r="E69" s="3"/>
      <c r="F69" s="3"/>
      <c r="G69" s="3"/>
      <c r="H69" s="20">
        <f>+J69+L69+N69</f>
        <v>0</v>
      </c>
      <c r="I69" s="23">
        <f>+K69+M69+O69</f>
        <v>0</v>
      </c>
      <c r="J69" s="6"/>
      <c r="K69" s="3"/>
      <c r="L69" s="7"/>
      <c r="M69" s="6"/>
      <c r="N69" s="3"/>
      <c r="O69" s="7"/>
      <c r="P69" s="3"/>
      <c r="Q69" s="3"/>
      <c r="R69" s="6" t="e">
        <f>+Q69/P69</f>
        <v>#DIV/0!</v>
      </c>
      <c r="S69" s="3"/>
      <c r="T69" s="3"/>
      <c r="U69" s="3"/>
      <c r="V69" s="3"/>
      <c r="W69" s="3"/>
    </row>
    <row r="70" spans="2:23">
      <c r="B70" s="3" t="str">
        <f t="shared" si="2"/>
        <v>nov</v>
      </c>
      <c r="C70" s="3">
        <f t="shared" si="3"/>
        <v>45</v>
      </c>
      <c r="D70" s="4">
        <v>46327</v>
      </c>
      <c r="E70" s="3"/>
      <c r="F70" s="3"/>
      <c r="G70" s="3"/>
      <c r="H70" s="20">
        <f>+J70+L70+N70</f>
        <v>0</v>
      </c>
      <c r="I70" s="23">
        <f>+K70+M70+O70</f>
        <v>0</v>
      </c>
      <c r="J70" s="6"/>
      <c r="K70" s="3"/>
      <c r="L70" s="7"/>
      <c r="M70" s="6"/>
      <c r="N70" s="3"/>
      <c r="O70" s="7"/>
      <c r="P70" s="3"/>
      <c r="Q70" s="3"/>
      <c r="R70" s="6" t="e">
        <f>+Q70/P70</f>
        <v>#DIV/0!</v>
      </c>
      <c r="S70" s="3"/>
      <c r="T70" s="3"/>
      <c r="U70" s="3"/>
      <c r="V70" s="3"/>
      <c r="W70" s="3"/>
    </row>
    <row r="71" spans="2:23">
      <c r="B71" s="3" t="str">
        <f t="shared" si="2"/>
        <v>nov</v>
      </c>
      <c r="C71" s="3">
        <f t="shared" si="3"/>
        <v>45</v>
      </c>
      <c r="D71" s="4">
        <v>46328</v>
      </c>
      <c r="E71" s="3"/>
      <c r="F71" s="3"/>
      <c r="G71" s="3"/>
      <c r="H71" s="20">
        <f>+J71+L71+N71</f>
        <v>0</v>
      </c>
      <c r="I71" s="23">
        <f>+K71+M71+O71</f>
        <v>0</v>
      </c>
      <c r="J71" s="6"/>
      <c r="K71" s="3"/>
      <c r="L71" s="7"/>
      <c r="M71" s="6"/>
      <c r="N71" s="3"/>
      <c r="O71" s="7"/>
      <c r="P71" s="3"/>
      <c r="Q71" s="3"/>
      <c r="R71" s="6" t="e">
        <f>+Q71/P71</f>
        <v>#DIV/0!</v>
      </c>
      <c r="S71" s="3"/>
      <c r="T71" s="3"/>
      <c r="U71" s="3"/>
      <c r="V71" s="3"/>
      <c r="W71" s="3"/>
    </row>
    <row r="72" spans="2:23">
      <c r="B72" s="3" t="str">
        <f t="shared" si="2"/>
        <v>nov</v>
      </c>
      <c r="C72" s="3">
        <f t="shared" si="3"/>
        <v>45</v>
      </c>
      <c r="D72" s="4">
        <v>46329</v>
      </c>
      <c r="E72" s="3"/>
      <c r="F72" s="3"/>
      <c r="G72" s="3"/>
      <c r="H72" s="20">
        <f>+J72+L72+N72</f>
        <v>0</v>
      </c>
      <c r="I72" s="23">
        <f>+K72+M72+O72</f>
        <v>0</v>
      </c>
      <c r="J72" s="6"/>
      <c r="K72" s="3"/>
      <c r="L72" s="7"/>
      <c r="M72" s="6"/>
      <c r="N72" s="3"/>
      <c r="O72" s="7"/>
      <c r="P72" s="3"/>
      <c r="Q72" s="3"/>
      <c r="R72" s="6" t="e">
        <f>+Q72/P72</f>
        <v>#DIV/0!</v>
      </c>
      <c r="S72" s="3"/>
      <c r="T72" s="3"/>
      <c r="U72" s="3"/>
      <c r="V72" s="3"/>
      <c r="W72" s="3"/>
    </row>
    <row r="73" spans="2:23">
      <c r="B73" s="3" t="str">
        <f t="shared" si="2"/>
        <v>nov</v>
      </c>
      <c r="C73" s="3">
        <f t="shared" si="3"/>
        <v>45</v>
      </c>
      <c r="D73" s="4">
        <v>46330</v>
      </c>
      <c r="E73" s="3"/>
      <c r="F73" s="3"/>
      <c r="G73" s="3"/>
      <c r="H73" s="20">
        <f>+J73+L73+N73</f>
        <v>0</v>
      </c>
      <c r="I73" s="23">
        <f>+K73+M73+O73</f>
        <v>0</v>
      </c>
      <c r="J73" s="6"/>
      <c r="K73" s="3"/>
      <c r="L73" s="7"/>
      <c r="M73" s="6"/>
      <c r="N73" s="3"/>
      <c r="O73" s="7"/>
      <c r="P73" s="3"/>
      <c r="Q73" s="3"/>
      <c r="R73" s="6" t="e">
        <f>+Q73/P73</f>
        <v>#DIV/0!</v>
      </c>
      <c r="S73" s="3"/>
      <c r="T73" s="3"/>
      <c r="U73" s="3"/>
      <c r="V73" s="3"/>
      <c r="W73" s="3"/>
    </row>
    <row r="74" spans="2:23">
      <c r="B74" s="3" t="str">
        <f t="shared" si="2"/>
        <v>nov</v>
      </c>
      <c r="C74" s="3">
        <f t="shared" si="3"/>
        <v>45</v>
      </c>
      <c r="D74" s="4">
        <v>46331</v>
      </c>
      <c r="E74" s="3"/>
      <c r="F74" s="3"/>
      <c r="G74" s="3"/>
      <c r="H74" s="20">
        <f>+J74+L74+N74</f>
        <v>0</v>
      </c>
      <c r="I74" s="23">
        <f>+K74+M74+O74</f>
        <v>0</v>
      </c>
      <c r="J74" s="6"/>
      <c r="K74" s="3"/>
      <c r="L74" s="7"/>
      <c r="M74" s="6"/>
      <c r="N74" s="3"/>
      <c r="O74" s="7"/>
      <c r="P74" s="3"/>
      <c r="Q74" s="3"/>
      <c r="R74" s="6" t="e">
        <f>+Q74/P74</f>
        <v>#DIV/0!</v>
      </c>
      <c r="S74" s="3"/>
      <c r="T74" s="3"/>
      <c r="U74" s="3"/>
      <c r="V74" s="3"/>
      <c r="W74" s="3"/>
    </row>
    <row r="75" spans="2:23">
      <c r="B75" s="3" t="str">
        <f t="shared" si="2"/>
        <v>nov</v>
      </c>
      <c r="C75" s="3">
        <f t="shared" si="3"/>
        <v>45</v>
      </c>
      <c r="D75" s="4">
        <v>46332</v>
      </c>
      <c r="E75" s="3"/>
      <c r="F75" s="3"/>
      <c r="G75" s="3"/>
      <c r="H75" s="20">
        <f>+J75+L75+N75</f>
        <v>0</v>
      </c>
      <c r="I75" s="23">
        <f>+K75+M75+O75</f>
        <v>0</v>
      </c>
      <c r="J75" s="6"/>
      <c r="K75" s="3"/>
      <c r="L75" s="7"/>
      <c r="M75" s="6"/>
      <c r="N75" s="3"/>
      <c r="O75" s="7"/>
      <c r="P75" s="3"/>
      <c r="Q75" s="3"/>
      <c r="R75" s="6" t="e">
        <f>+Q75/P75</f>
        <v>#DIV/0!</v>
      </c>
      <c r="S75" s="3"/>
      <c r="T75" s="3"/>
      <c r="U75" s="3"/>
      <c r="V75" s="3"/>
      <c r="W75" s="3"/>
    </row>
    <row r="76" spans="2:23">
      <c r="B76" s="3" t="str">
        <f t="shared" si="2"/>
        <v>nov</v>
      </c>
      <c r="C76" s="3">
        <f t="shared" si="3"/>
        <v>45</v>
      </c>
      <c r="D76" s="4">
        <v>46333</v>
      </c>
      <c r="E76" s="3"/>
      <c r="F76" s="3"/>
      <c r="G76" s="3"/>
      <c r="H76" s="20">
        <f>+J76+L76+N76</f>
        <v>0</v>
      </c>
      <c r="I76" s="23">
        <f>+K76+M76+O76</f>
        <v>0</v>
      </c>
      <c r="J76" s="6"/>
      <c r="K76" s="3"/>
      <c r="L76" s="7"/>
      <c r="M76" s="6"/>
      <c r="N76" s="3"/>
      <c r="O76" s="7"/>
      <c r="P76" s="3"/>
      <c r="Q76" s="3"/>
      <c r="R76" s="6" t="e">
        <f>+Q76/P76</f>
        <v>#DIV/0!</v>
      </c>
      <c r="S76" s="3"/>
      <c r="T76" s="3"/>
      <c r="U76" s="3"/>
      <c r="V76" s="3"/>
      <c r="W76" s="3"/>
    </row>
    <row r="77" spans="2:23">
      <c r="B77" s="3" t="str">
        <f t="shared" si="2"/>
        <v>nov</v>
      </c>
      <c r="C77" s="3">
        <f t="shared" si="3"/>
        <v>46</v>
      </c>
      <c r="D77" s="4">
        <v>46334</v>
      </c>
      <c r="E77" s="3"/>
      <c r="F77" s="3"/>
      <c r="G77" s="3"/>
      <c r="H77" s="20">
        <f>+J77+L77+N77</f>
        <v>0</v>
      </c>
      <c r="I77" s="23">
        <f>+K77+M77+O77</f>
        <v>0</v>
      </c>
      <c r="J77" s="6"/>
      <c r="K77" s="3"/>
      <c r="L77" s="7"/>
      <c r="M77" s="6"/>
      <c r="N77" s="3"/>
      <c r="O77" s="7"/>
      <c r="P77" s="3"/>
      <c r="Q77" s="3"/>
      <c r="R77" s="6" t="e">
        <f>+Q77/P77</f>
        <v>#DIV/0!</v>
      </c>
      <c r="S77" s="3"/>
      <c r="T77" s="3"/>
      <c r="U77" s="3"/>
      <c r="V77" s="3"/>
      <c r="W77" s="3"/>
    </row>
    <row r="78" spans="2:23">
      <c r="B78" s="3" t="str">
        <f t="shared" si="2"/>
        <v>nov</v>
      </c>
      <c r="C78" s="3">
        <f t="shared" si="3"/>
        <v>46</v>
      </c>
      <c r="D78" s="4">
        <v>46335</v>
      </c>
      <c r="E78" s="3"/>
      <c r="F78" s="3"/>
      <c r="G78" s="3"/>
      <c r="H78" s="20">
        <f>+J78+L78+N78</f>
        <v>0</v>
      </c>
      <c r="I78" s="23">
        <f>+K78+M78+O78</f>
        <v>0</v>
      </c>
      <c r="J78" s="6"/>
      <c r="K78" s="3"/>
      <c r="L78" s="7"/>
      <c r="M78" s="6"/>
      <c r="N78" s="3"/>
      <c r="O78" s="7"/>
      <c r="P78" s="3"/>
      <c r="Q78" s="3"/>
      <c r="R78" s="6" t="e">
        <f>+Q78/P78</f>
        <v>#DIV/0!</v>
      </c>
      <c r="S78" s="3"/>
      <c r="T78" s="3"/>
      <c r="U78" s="3"/>
      <c r="V78" s="3"/>
      <c r="W78" s="3"/>
    </row>
    <row r="79" spans="2:23">
      <c r="B79" s="3" t="str">
        <f t="shared" si="2"/>
        <v>nov</v>
      </c>
      <c r="C79" s="3">
        <f t="shared" si="3"/>
        <v>46</v>
      </c>
      <c r="D79" s="4">
        <v>46336</v>
      </c>
      <c r="E79" s="3"/>
      <c r="F79" s="3"/>
      <c r="G79" s="3"/>
      <c r="H79" s="20">
        <f>+J79+L79+N79</f>
        <v>0</v>
      </c>
      <c r="I79" s="23">
        <f>+K79+M79+O79</f>
        <v>0</v>
      </c>
      <c r="J79" s="6"/>
      <c r="K79" s="3"/>
      <c r="L79" s="7"/>
      <c r="M79" s="6"/>
      <c r="N79" s="3"/>
      <c r="O79" s="7"/>
      <c r="P79" s="3"/>
      <c r="Q79" s="3"/>
      <c r="R79" s="6" t="e">
        <f>+Q79/P79</f>
        <v>#DIV/0!</v>
      </c>
      <c r="S79" s="3"/>
      <c r="T79" s="3"/>
      <c r="U79" s="3"/>
      <c r="V79" s="3"/>
      <c r="W79" s="3"/>
    </row>
    <row r="80" spans="2:23">
      <c r="B80" s="3" t="str">
        <f t="shared" si="2"/>
        <v>nov</v>
      </c>
      <c r="C80" s="3">
        <f t="shared" si="3"/>
        <v>46</v>
      </c>
      <c r="D80" s="4">
        <v>46337</v>
      </c>
      <c r="E80" s="3"/>
      <c r="F80" s="3"/>
      <c r="G80" s="3"/>
      <c r="H80" s="20">
        <f>+J80+L80+N80</f>
        <v>0</v>
      </c>
      <c r="I80" s="23">
        <f>+K80+M80+O80</f>
        <v>0</v>
      </c>
      <c r="J80" s="6"/>
      <c r="K80" s="3"/>
      <c r="L80" s="7"/>
      <c r="M80" s="6"/>
      <c r="N80" s="3"/>
      <c r="O80" s="7"/>
      <c r="P80" s="3"/>
      <c r="Q80" s="3"/>
      <c r="R80" s="6" t="e">
        <f>+Q80/P80</f>
        <v>#DIV/0!</v>
      </c>
      <c r="S80" s="3"/>
      <c r="T80" s="3"/>
      <c r="U80" s="3"/>
      <c r="V80" s="3"/>
      <c r="W80" s="3"/>
    </row>
    <row r="81" spans="2:23">
      <c r="B81" s="3" t="str">
        <f t="shared" si="2"/>
        <v>nov</v>
      </c>
      <c r="C81" s="3">
        <f t="shared" si="3"/>
        <v>46</v>
      </c>
      <c r="D81" s="4">
        <v>46338</v>
      </c>
      <c r="E81" s="3"/>
      <c r="F81" s="3"/>
      <c r="G81" s="3"/>
      <c r="H81" s="20">
        <f>+J81+L81+N81</f>
        <v>0</v>
      </c>
      <c r="I81" s="23">
        <f>+K81+M81+O81</f>
        <v>0</v>
      </c>
      <c r="J81" s="6"/>
      <c r="K81" s="3"/>
      <c r="L81" s="7"/>
      <c r="M81" s="6"/>
      <c r="N81" s="3"/>
      <c r="O81" s="7"/>
      <c r="P81" s="3"/>
      <c r="Q81" s="3"/>
      <c r="R81" s="6" t="e">
        <f>+Q81/P81</f>
        <v>#DIV/0!</v>
      </c>
      <c r="S81" s="3"/>
      <c r="T81" s="3"/>
      <c r="U81" s="3"/>
      <c r="V81" s="3"/>
      <c r="W81" s="3"/>
    </row>
    <row r="82" spans="2:23">
      <c r="B82" s="3" t="str">
        <f t="shared" si="2"/>
        <v>nov</v>
      </c>
      <c r="C82" s="3">
        <f t="shared" si="3"/>
        <v>46</v>
      </c>
      <c r="D82" s="4">
        <v>46339</v>
      </c>
      <c r="E82" s="3"/>
      <c r="F82" s="3"/>
      <c r="G82" s="3"/>
      <c r="H82" s="20">
        <f>+J82+L82+N82</f>
        <v>0</v>
      </c>
      <c r="I82" s="23">
        <f>+K82+M82+O82</f>
        <v>0</v>
      </c>
      <c r="J82" s="6"/>
      <c r="K82" s="3"/>
      <c r="L82" s="7"/>
      <c r="M82" s="6"/>
      <c r="N82" s="3"/>
      <c r="O82" s="7"/>
      <c r="P82" s="3"/>
      <c r="Q82" s="3"/>
      <c r="R82" s="6" t="e">
        <f>+Q82/P82</f>
        <v>#DIV/0!</v>
      </c>
      <c r="S82" s="3"/>
      <c r="T82" s="3"/>
      <c r="U82" s="3"/>
      <c r="V82" s="3"/>
      <c r="W82" s="3"/>
    </row>
    <row r="83" spans="2:23">
      <c r="B83" s="3" t="str">
        <f t="shared" si="2"/>
        <v>nov</v>
      </c>
      <c r="C83" s="3">
        <f t="shared" si="3"/>
        <v>46</v>
      </c>
      <c r="D83" s="4">
        <v>46340</v>
      </c>
      <c r="E83" s="3"/>
      <c r="F83" s="3"/>
      <c r="G83" s="3"/>
      <c r="H83" s="20">
        <f>+J83+L83+N83</f>
        <v>0</v>
      </c>
      <c r="I83" s="23">
        <f>+K83+M83+O83</f>
        <v>0</v>
      </c>
      <c r="J83" s="6"/>
      <c r="K83" s="3"/>
      <c r="L83" s="7"/>
      <c r="M83" s="6"/>
      <c r="N83" s="3"/>
      <c r="O83" s="7"/>
      <c r="P83" s="3"/>
      <c r="Q83" s="3"/>
      <c r="R83" s="6" t="e">
        <f>+Q83/P83</f>
        <v>#DIV/0!</v>
      </c>
      <c r="S83" s="3"/>
      <c r="T83" s="3"/>
      <c r="U83" s="3"/>
      <c r="V83" s="3"/>
      <c r="W83" s="3"/>
    </row>
    <row r="84" spans="2:23">
      <c r="B84" s="3" t="str">
        <f t="shared" si="2"/>
        <v>nov</v>
      </c>
      <c r="C84" s="3">
        <f t="shared" si="3"/>
        <v>47</v>
      </c>
      <c r="D84" s="4">
        <v>46341</v>
      </c>
      <c r="E84" s="3"/>
      <c r="F84" s="3"/>
      <c r="G84" s="3"/>
      <c r="H84" s="20">
        <f>+J84+L84+N84</f>
        <v>0</v>
      </c>
      <c r="I84" s="23">
        <f>+K84+M84+O84</f>
        <v>0</v>
      </c>
      <c r="J84" s="6"/>
      <c r="K84" s="3"/>
      <c r="L84" s="7"/>
      <c r="M84" s="6"/>
      <c r="N84" s="3"/>
      <c r="O84" s="7"/>
      <c r="P84" s="3"/>
      <c r="Q84" s="3"/>
      <c r="R84" s="6" t="e">
        <f>+Q84/P84</f>
        <v>#DIV/0!</v>
      </c>
      <c r="S84" s="3"/>
      <c r="T84" s="3"/>
      <c r="U84" s="3"/>
      <c r="V84" s="3"/>
      <c r="W84" s="3"/>
    </row>
    <row r="85" spans="2:23">
      <c r="B85" s="3" t="str">
        <f t="shared" si="2"/>
        <v>nov</v>
      </c>
      <c r="C85" s="3">
        <f t="shared" si="3"/>
        <v>47</v>
      </c>
      <c r="D85" s="4">
        <v>46342</v>
      </c>
      <c r="E85" s="3"/>
      <c r="F85" s="3"/>
      <c r="G85" s="3"/>
      <c r="H85" s="20">
        <f>+J85+L85+N85</f>
        <v>0</v>
      </c>
      <c r="I85" s="23">
        <f>+K85+M85+O85</f>
        <v>0</v>
      </c>
      <c r="J85" s="6"/>
      <c r="K85" s="3"/>
      <c r="L85" s="7"/>
      <c r="M85" s="6"/>
      <c r="N85" s="3"/>
      <c r="O85" s="7"/>
      <c r="P85" s="3"/>
      <c r="Q85" s="3"/>
      <c r="R85" s="6" t="e">
        <f>+Q85/P85</f>
        <v>#DIV/0!</v>
      </c>
      <c r="S85" s="3"/>
      <c r="T85" s="3"/>
      <c r="U85" s="3"/>
      <c r="V85" s="3"/>
      <c r="W85" s="3"/>
    </row>
    <row r="86" spans="2:23">
      <c r="B86" s="3" t="str">
        <f t="shared" si="2"/>
        <v>nov</v>
      </c>
      <c r="C86" s="3">
        <f t="shared" si="3"/>
        <v>47</v>
      </c>
      <c r="D86" s="4">
        <v>46343</v>
      </c>
      <c r="E86" s="3"/>
      <c r="F86" s="3"/>
      <c r="G86" s="3"/>
      <c r="H86" s="20">
        <f>+J86+L86+N86</f>
        <v>0</v>
      </c>
      <c r="I86" s="23">
        <f>+K86+M86+O86</f>
        <v>0</v>
      </c>
      <c r="J86" s="6"/>
      <c r="K86" s="3"/>
      <c r="L86" s="7"/>
      <c r="M86" s="6"/>
      <c r="N86" s="3"/>
      <c r="O86" s="7"/>
      <c r="P86" s="3"/>
      <c r="Q86" s="3"/>
      <c r="R86" s="6" t="e">
        <f>+Q86/P86</f>
        <v>#DIV/0!</v>
      </c>
      <c r="S86" s="3"/>
      <c r="T86" s="3"/>
      <c r="U86" s="3"/>
      <c r="V86" s="3"/>
      <c r="W86" s="3"/>
    </row>
    <row r="87" spans="2:23">
      <c r="B87" s="3" t="str">
        <f t="shared" si="2"/>
        <v>nov</v>
      </c>
      <c r="C87" s="3">
        <f t="shared" si="3"/>
        <v>47</v>
      </c>
      <c r="D87" s="4">
        <v>46344</v>
      </c>
      <c r="E87" s="3"/>
      <c r="F87" s="3"/>
      <c r="G87" s="3"/>
      <c r="H87" s="20">
        <f>+J87+L87+N87</f>
        <v>0</v>
      </c>
      <c r="I87" s="23">
        <f>+K87+M87+O87</f>
        <v>0</v>
      </c>
      <c r="J87" s="6"/>
      <c r="K87" s="3"/>
      <c r="L87" s="7"/>
      <c r="M87" s="6"/>
      <c r="N87" s="3"/>
      <c r="O87" s="7"/>
      <c r="P87" s="3"/>
      <c r="Q87" s="3"/>
      <c r="R87" s="6" t="e">
        <f>+Q87/P87</f>
        <v>#DIV/0!</v>
      </c>
      <c r="S87" s="3"/>
      <c r="T87" s="3"/>
      <c r="U87" s="3"/>
      <c r="V87" s="3"/>
      <c r="W87" s="3"/>
    </row>
    <row r="88" spans="2:23">
      <c r="B88" s="3" t="str">
        <f t="shared" si="2"/>
        <v>nov</v>
      </c>
      <c r="C88" s="3">
        <f t="shared" si="3"/>
        <v>47</v>
      </c>
      <c r="D88" s="4">
        <v>46345</v>
      </c>
      <c r="E88" s="3"/>
      <c r="F88" s="3"/>
      <c r="G88" s="3"/>
      <c r="H88" s="20">
        <f>+J88+L88+N88</f>
        <v>0</v>
      </c>
      <c r="I88" s="23">
        <f>+K88+M88+O88</f>
        <v>0</v>
      </c>
      <c r="J88" s="6"/>
      <c r="K88" s="3"/>
      <c r="L88" s="7"/>
      <c r="M88" s="6"/>
      <c r="N88" s="3"/>
      <c r="O88" s="7"/>
      <c r="P88" s="3"/>
      <c r="Q88" s="3"/>
      <c r="R88" s="6" t="e">
        <f>+Q88/P88</f>
        <v>#DIV/0!</v>
      </c>
      <c r="S88" s="3"/>
      <c r="T88" s="3"/>
      <c r="U88" s="3"/>
      <c r="V88" s="3"/>
      <c r="W88" s="3"/>
    </row>
    <row r="89" spans="2:23">
      <c r="B89" s="3" t="str">
        <f t="shared" si="2"/>
        <v>nov</v>
      </c>
      <c r="C89" s="3">
        <f t="shared" si="3"/>
        <v>47</v>
      </c>
      <c r="D89" s="4">
        <v>46346</v>
      </c>
      <c r="E89" s="3"/>
      <c r="F89" s="3"/>
      <c r="G89" s="3"/>
      <c r="H89" s="20">
        <f>+J89+L89+N89</f>
        <v>0</v>
      </c>
      <c r="I89" s="23">
        <f>+K89+M89+O89</f>
        <v>0</v>
      </c>
      <c r="J89" s="6"/>
      <c r="K89" s="3"/>
      <c r="L89" s="7"/>
      <c r="M89" s="6"/>
      <c r="N89" s="3"/>
      <c r="O89" s="7"/>
      <c r="P89" s="3"/>
      <c r="Q89" s="3"/>
      <c r="R89" s="6" t="e">
        <f>+Q89/P89</f>
        <v>#DIV/0!</v>
      </c>
      <c r="S89" s="3"/>
      <c r="T89" s="3"/>
      <c r="U89" s="3"/>
      <c r="V89" s="3"/>
      <c r="W89" s="3"/>
    </row>
    <row r="90" spans="2:23">
      <c r="B90" s="3" t="str">
        <f t="shared" si="2"/>
        <v>nov</v>
      </c>
      <c r="C90" s="3">
        <f t="shared" si="3"/>
        <v>47</v>
      </c>
      <c r="D90" s="4">
        <v>46347</v>
      </c>
      <c r="E90" s="3"/>
      <c r="F90" s="3"/>
      <c r="G90" s="3"/>
      <c r="H90" s="20">
        <f>+J90+L90+N90</f>
        <v>0</v>
      </c>
      <c r="I90" s="23">
        <f>+K90+M90+O90</f>
        <v>0</v>
      </c>
      <c r="J90" s="6"/>
      <c r="K90" s="3"/>
      <c r="L90" s="7"/>
      <c r="M90" s="6"/>
      <c r="N90" s="3"/>
      <c r="O90" s="7"/>
      <c r="P90" s="3"/>
      <c r="Q90" s="3"/>
      <c r="R90" s="6" t="e">
        <f>+Q90/P90</f>
        <v>#DIV/0!</v>
      </c>
      <c r="S90" s="3"/>
      <c r="T90" s="3"/>
      <c r="U90" s="3"/>
      <c r="V90" s="3"/>
      <c r="W90" s="3"/>
    </row>
    <row r="91" spans="2:23">
      <c r="B91" s="3" t="str">
        <f t="shared" si="2"/>
        <v>nov</v>
      </c>
      <c r="C91" s="3">
        <f t="shared" si="3"/>
        <v>48</v>
      </c>
      <c r="D91" s="4">
        <v>46348</v>
      </c>
      <c r="E91" s="3"/>
      <c r="F91" s="3"/>
      <c r="G91" s="3"/>
      <c r="H91" s="20">
        <f>+J91+L91+N91</f>
        <v>0</v>
      </c>
      <c r="I91" s="23">
        <f>+K91+M91+O91</f>
        <v>0</v>
      </c>
      <c r="J91" s="6"/>
      <c r="K91" s="3"/>
      <c r="L91" s="7"/>
      <c r="M91" s="6"/>
      <c r="N91" s="3"/>
      <c r="O91" s="7"/>
      <c r="P91" s="3"/>
      <c r="Q91" s="3"/>
      <c r="R91" s="6" t="e">
        <f>+Q91/P91</f>
        <v>#DIV/0!</v>
      </c>
      <c r="S91" s="3"/>
      <c r="T91" s="3"/>
      <c r="U91" s="3"/>
      <c r="V91" s="3"/>
      <c r="W91" s="3"/>
    </row>
    <row r="92" spans="2:23">
      <c r="B92" s="3" t="str">
        <f t="shared" si="2"/>
        <v>nov</v>
      </c>
      <c r="C92" s="3">
        <f t="shared" si="3"/>
        <v>48</v>
      </c>
      <c r="D92" s="4">
        <v>46349</v>
      </c>
      <c r="E92" s="3"/>
      <c r="F92" s="3"/>
      <c r="G92" s="3"/>
      <c r="H92" s="20">
        <f>+J92+L92+N92</f>
        <v>0</v>
      </c>
      <c r="I92" s="23">
        <f>+K92+M92+O92</f>
        <v>0</v>
      </c>
      <c r="J92" s="6"/>
      <c r="K92" s="3"/>
      <c r="L92" s="7"/>
      <c r="M92" s="6"/>
      <c r="N92" s="3"/>
      <c r="O92" s="7"/>
      <c r="P92" s="3"/>
      <c r="Q92" s="3"/>
      <c r="R92" s="6" t="e">
        <f>+Q92/P92</f>
        <v>#DIV/0!</v>
      </c>
      <c r="S92" s="3"/>
      <c r="T92" s="3"/>
      <c r="U92" s="3"/>
      <c r="V92" s="3"/>
      <c r="W92" s="3"/>
    </row>
    <row r="93" spans="2:23">
      <c r="B93" s="3" t="str">
        <f t="shared" si="2"/>
        <v>nov</v>
      </c>
      <c r="C93" s="3">
        <f t="shared" si="3"/>
        <v>48</v>
      </c>
      <c r="D93" s="4">
        <v>46350</v>
      </c>
      <c r="E93" s="3"/>
      <c r="F93" s="3"/>
      <c r="G93" s="3"/>
      <c r="H93" s="20">
        <f>+J93+L93+N93</f>
        <v>0</v>
      </c>
      <c r="I93" s="23">
        <f>+K93+M93+O93</f>
        <v>0</v>
      </c>
      <c r="J93" s="6"/>
      <c r="K93" s="3"/>
      <c r="L93" s="7"/>
      <c r="M93" s="6"/>
      <c r="N93" s="3"/>
      <c r="O93" s="7"/>
      <c r="P93" s="3"/>
      <c r="Q93" s="3"/>
      <c r="R93" s="6" t="e">
        <f>+Q93/P93</f>
        <v>#DIV/0!</v>
      </c>
      <c r="S93" s="3"/>
      <c r="T93" s="3"/>
      <c r="U93" s="3"/>
      <c r="V93" s="3"/>
      <c r="W93" s="3"/>
    </row>
    <row r="94" spans="2:23">
      <c r="B94" s="3" t="str">
        <f t="shared" si="2"/>
        <v>nov</v>
      </c>
      <c r="C94" s="3">
        <f t="shared" si="3"/>
        <v>48</v>
      </c>
      <c r="D94" s="4">
        <v>46351</v>
      </c>
      <c r="E94" s="3"/>
      <c r="F94" s="3"/>
      <c r="G94" s="3"/>
      <c r="H94" s="20">
        <f>+J94+L94+N94</f>
        <v>0</v>
      </c>
      <c r="I94" s="23">
        <f>+K94+M94+O94</f>
        <v>0</v>
      </c>
      <c r="J94" s="6"/>
      <c r="K94" s="3"/>
      <c r="L94" s="7"/>
      <c r="M94" s="6"/>
      <c r="N94" s="3"/>
      <c r="O94" s="7"/>
      <c r="P94" s="3"/>
      <c r="Q94" s="3"/>
      <c r="R94" s="6" t="e">
        <f>+Q94/P94</f>
        <v>#DIV/0!</v>
      </c>
      <c r="S94" s="3"/>
      <c r="T94" s="3"/>
      <c r="U94" s="3"/>
      <c r="V94" s="3"/>
      <c r="W94" s="3"/>
    </row>
    <row r="95" spans="2:23">
      <c r="B95" s="3" t="str">
        <f t="shared" si="2"/>
        <v>nov</v>
      </c>
      <c r="C95" s="3">
        <f t="shared" si="3"/>
        <v>48</v>
      </c>
      <c r="D95" s="4">
        <v>46352</v>
      </c>
      <c r="E95" s="3"/>
      <c r="F95" s="3"/>
      <c r="G95" s="3"/>
      <c r="H95" s="20">
        <f>+J95+L95+N95</f>
        <v>0</v>
      </c>
      <c r="I95" s="23">
        <f>+K95+M95+O95</f>
        <v>0</v>
      </c>
      <c r="J95" s="6"/>
      <c r="K95" s="3"/>
      <c r="L95" s="7"/>
      <c r="M95" s="6"/>
      <c r="N95" s="3"/>
      <c r="O95" s="7"/>
      <c r="P95" s="3"/>
      <c r="Q95" s="3"/>
      <c r="R95" s="6" t="e">
        <f>+Q95/P95</f>
        <v>#DIV/0!</v>
      </c>
      <c r="S95" s="3"/>
      <c r="T95" s="3"/>
      <c r="U95" s="3"/>
      <c r="V95" s="3"/>
      <c r="W95" s="3"/>
    </row>
    <row r="96" spans="2:23">
      <c r="B96" s="3" t="str">
        <f t="shared" si="2"/>
        <v>nov</v>
      </c>
      <c r="C96" s="3">
        <f t="shared" si="3"/>
        <v>48</v>
      </c>
      <c r="D96" s="4">
        <v>46353</v>
      </c>
      <c r="E96" s="3"/>
      <c r="F96" s="3"/>
      <c r="G96" s="3"/>
      <c r="H96" s="20">
        <f>+J96+L96+N96</f>
        <v>0</v>
      </c>
      <c r="I96" s="23">
        <f>+K96+M96+O96</f>
        <v>0</v>
      </c>
      <c r="J96" s="6"/>
      <c r="K96" s="3"/>
      <c r="L96" s="7"/>
      <c r="M96" s="6"/>
      <c r="N96" s="3"/>
      <c r="O96" s="7"/>
      <c r="P96" s="3"/>
      <c r="Q96" s="3"/>
      <c r="R96" s="6" t="e">
        <f>+Q96/P96</f>
        <v>#DIV/0!</v>
      </c>
      <c r="S96" s="3"/>
      <c r="T96" s="3"/>
      <c r="U96" s="3"/>
      <c r="V96" s="3"/>
      <c r="W96" s="3"/>
    </row>
    <row r="97" spans="2:23">
      <c r="B97" s="3" t="str">
        <f t="shared" si="2"/>
        <v>nov</v>
      </c>
      <c r="C97" s="3">
        <f t="shared" si="3"/>
        <v>48</v>
      </c>
      <c r="D97" s="4">
        <v>46354</v>
      </c>
      <c r="E97" s="3"/>
      <c r="F97" s="3"/>
      <c r="G97" s="3"/>
      <c r="H97" s="20">
        <f>+J97+L97+N97</f>
        <v>0</v>
      </c>
      <c r="I97" s="23">
        <f>+K97+M97+O97</f>
        <v>0</v>
      </c>
      <c r="J97" s="6"/>
      <c r="K97" s="3"/>
      <c r="L97" s="7"/>
      <c r="M97" s="6"/>
      <c r="N97" s="3"/>
      <c r="O97" s="7"/>
      <c r="P97" s="3"/>
      <c r="Q97" s="3"/>
      <c r="R97" s="6" t="e">
        <f>+Q97/P97</f>
        <v>#DIV/0!</v>
      </c>
      <c r="S97" s="3"/>
      <c r="T97" s="3"/>
      <c r="U97" s="3"/>
      <c r="V97" s="3"/>
      <c r="W97" s="3"/>
    </row>
    <row r="98" spans="2:23">
      <c r="B98" s="3" t="str">
        <f t="shared" si="2"/>
        <v>nov</v>
      </c>
      <c r="C98" s="3">
        <f t="shared" si="3"/>
        <v>49</v>
      </c>
      <c r="D98" s="4">
        <v>46355</v>
      </c>
      <c r="E98" s="3"/>
      <c r="F98" s="3"/>
      <c r="G98" s="3"/>
      <c r="H98" s="20">
        <f>+J98+L98+N98</f>
        <v>0</v>
      </c>
      <c r="I98" s="23">
        <f>+K98+M98+O98</f>
        <v>0</v>
      </c>
      <c r="J98" s="6"/>
      <c r="K98" s="3"/>
      <c r="L98" s="7"/>
      <c r="M98" s="6"/>
      <c r="N98" s="3"/>
      <c r="O98" s="7"/>
      <c r="P98" s="3"/>
      <c r="Q98" s="3"/>
      <c r="R98" s="6" t="e">
        <f>+Q98/P98</f>
        <v>#DIV/0!</v>
      </c>
      <c r="S98" s="3"/>
      <c r="T98" s="3"/>
      <c r="U98" s="3"/>
      <c r="V98" s="3"/>
      <c r="W98" s="3"/>
    </row>
    <row r="99" spans="2:23">
      <c r="B99" s="3" t="str">
        <f t="shared" si="2"/>
        <v>nov</v>
      </c>
      <c r="C99" s="3">
        <f t="shared" si="3"/>
        <v>49</v>
      </c>
      <c r="D99" s="4">
        <v>46356</v>
      </c>
      <c r="E99" s="3"/>
      <c r="F99" s="3"/>
      <c r="G99" s="3"/>
      <c r="H99" s="20">
        <f>+J99+L99+N99</f>
        <v>0</v>
      </c>
      <c r="I99" s="23">
        <f>+K99+M99+O99</f>
        <v>0</v>
      </c>
      <c r="J99" s="6"/>
      <c r="K99" s="3"/>
      <c r="L99" s="7"/>
      <c r="M99" s="6"/>
      <c r="N99" s="3"/>
      <c r="O99" s="7"/>
      <c r="P99" s="3"/>
      <c r="Q99" s="3"/>
      <c r="R99" s="6" t="e">
        <f>+Q99/P99</f>
        <v>#DIV/0!</v>
      </c>
      <c r="S99" s="3"/>
      <c r="T99" s="3"/>
      <c r="U99" s="3"/>
      <c r="V99" s="3"/>
      <c r="W99" s="3"/>
    </row>
    <row r="100" spans="2:23">
      <c r="B100" s="3" t="str">
        <f t="shared" si="2"/>
        <v>dic</v>
      </c>
      <c r="C100" s="3">
        <f t="shared" si="3"/>
        <v>49</v>
      </c>
      <c r="D100" s="4">
        <v>46357</v>
      </c>
      <c r="E100" s="3"/>
      <c r="F100" s="3"/>
      <c r="G100" s="3"/>
      <c r="H100" s="20">
        <f>+J100+L100+N100</f>
        <v>0</v>
      </c>
      <c r="I100" s="23">
        <f>+K100+M100+O100</f>
        <v>0</v>
      </c>
      <c r="J100" s="6"/>
      <c r="K100" s="3"/>
      <c r="L100" s="7"/>
      <c r="M100" s="6"/>
      <c r="N100" s="3"/>
      <c r="O100" s="7"/>
      <c r="P100" s="3"/>
      <c r="Q100" s="3"/>
      <c r="R100" s="6" t="e">
        <f>+Q100/P100</f>
        <v>#DIV/0!</v>
      </c>
      <c r="S100" s="3"/>
      <c r="T100" s="3"/>
      <c r="U100" s="3"/>
      <c r="V100" s="3"/>
      <c r="W100" s="3"/>
    </row>
    <row r="101" spans="2:23">
      <c r="B101" s="3" t="str">
        <f t="shared" si="2"/>
        <v>dic</v>
      </c>
      <c r="C101" s="3">
        <f t="shared" si="3"/>
        <v>49</v>
      </c>
      <c r="D101" s="4">
        <v>46358</v>
      </c>
      <c r="E101" s="3"/>
      <c r="F101" s="3"/>
      <c r="G101" s="3"/>
      <c r="H101" s="20">
        <f>+J101+L101+N101</f>
        <v>0</v>
      </c>
      <c r="I101" s="23">
        <f>+K101+M101+O101</f>
        <v>0</v>
      </c>
      <c r="J101" s="6"/>
      <c r="K101" s="3"/>
      <c r="L101" s="7"/>
      <c r="M101" s="6"/>
      <c r="N101" s="3"/>
      <c r="O101" s="7"/>
      <c r="P101" s="3"/>
      <c r="Q101" s="3"/>
      <c r="R101" s="6" t="e">
        <f>+Q101/P101</f>
        <v>#DIV/0!</v>
      </c>
      <c r="S101" s="3"/>
      <c r="T101" s="3"/>
      <c r="U101" s="3"/>
      <c r="V101" s="3"/>
      <c r="W101" s="3"/>
    </row>
    <row r="102" spans="2:23">
      <c r="B102" s="3" t="str">
        <f t="shared" si="2"/>
        <v>dic</v>
      </c>
      <c r="C102" s="3">
        <f t="shared" si="3"/>
        <v>49</v>
      </c>
      <c r="D102" s="4">
        <v>46359</v>
      </c>
      <c r="E102" s="3"/>
      <c r="F102" s="3"/>
      <c r="G102" s="3"/>
      <c r="H102" s="20">
        <f>+J102+L102+N102</f>
        <v>0</v>
      </c>
      <c r="I102" s="23">
        <f>+K102+M102+O102</f>
        <v>0</v>
      </c>
      <c r="J102" s="6"/>
      <c r="K102" s="3"/>
      <c r="L102" s="7"/>
      <c r="M102" s="6"/>
      <c r="N102" s="3"/>
      <c r="O102" s="7"/>
      <c r="P102" s="3"/>
      <c r="Q102" s="3"/>
      <c r="R102" s="6" t="e">
        <f>+Q102/P102</f>
        <v>#DIV/0!</v>
      </c>
      <c r="S102" s="3"/>
      <c r="T102" s="3"/>
      <c r="U102" s="3"/>
      <c r="V102" s="3"/>
      <c r="W102" s="3"/>
    </row>
    <row r="103" spans="2:23">
      <c r="B103" s="3" t="str">
        <f t="shared" si="2"/>
        <v>dic</v>
      </c>
      <c r="C103" s="3">
        <f t="shared" si="3"/>
        <v>49</v>
      </c>
      <c r="D103" s="4">
        <v>46360</v>
      </c>
      <c r="E103" s="3"/>
      <c r="F103" s="3"/>
      <c r="G103" s="3"/>
      <c r="H103" s="20">
        <f>+J103+L103+N103</f>
        <v>0</v>
      </c>
      <c r="I103" s="23">
        <f>+K103+M103+O103</f>
        <v>0</v>
      </c>
      <c r="J103" s="6"/>
      <c r="K103" s="3"/>
      <c r="L103" s="7"/>
      <c r="M103" s="6"/>
      <c r="N103" s="3"/>
      <c r="O103" s="7"/>
      <c r="P103" s="3"/>
      <c r="Q103" s="3"/>
      <c r="R103" s="6" t="e">
        <f>+Q103/P103</f>
        <v>#DIV/0!</v>
      </c>
      <c r="S103" s="3"/>
      <c r="T103" s="3"/>
      <c r="U103" s="3"/>
      <c r="V103" s="3"/>
      <c r="W103" s="3"/>
    </row>
    <row r="104" spans="2:23">
      <c r="B104" s="3" t="str">
        <f t="shared" si="2"/>
        <v>dic</v>
      </c>
      <c r="C104" s="3">
        <f t="shared" si="3"/>
        <v>49</v>
      </c>
      <c r="D104" s="4">
        <v>46361</v>
      </c>
      <c r="E104" s="3"/>
      <c r="F104" s="3"/>
      <c r="G104" s="3"/>
      <c r="H104" s="20">
        <f>+J104+L104+N104</f>
        <v>0</v>
      </c>
      <c r="I104" s="23">
        <f>+K104+M104+O104</f>
        <v>0</v>
      </c>
      <c r="J104" s="6"/>
      <c r="K104" s="3"/>
      <c r="L104" s="7"/>
      <c r="M104" s="6"/>
      <c r="N104" s="3"/>
      <c r="O104" s="7"/>
      <c r="P104" s="3"/>
      <c r="Q104" s="3"/>
      <c r="R104" s="6" t="e">
        <f>+Q104/P104</f>
        <v>#DIV/0!</v>
      </c>
      <c r="S104" s="3"/>
      <c r="T104" s="3"/>
      <c r="U104" s="3"/>
      <c r="V104" s="3"/>
      <c r="W104" s="3"/>
    </row>
    <row r="105" spans="2:23">
      <c r="B105" s="3" t="str">
        <f t="shared" si="2"/>
        <v>dic</v>
      </c>
      <c r="C105" s="3">
        <f t="shared" si="3"/>
        <v>50</v>
      </c>
      <c r="D105" s="4">
        <v>46362</v>
      </c>
      <c r="E105" s="3"/>
      <c r="F105" s="3"/>
      <c r="G105" s="3"/>
      <c r="H105" s="20">
        <f>+J105+L105+N105</f>
        <v>0</v>
      </c>
      <c r="I105" s="23">
        <f>+K105+M105+O105</f>
        <v>0</v>
      </c>
      <c r="J105" s="6"/>
      <c r="K105" s="3"/>
      <c r="L105" s="7"/>
      <c r="M105" s="6"/>
      <c r="N105" s="3"/>
      <c r="O105" s="7"/>
      <c r="P105" s="3"/>
      <c r="Q105" s="3"/>
      <c r="R105" s="6" t="e">
        <f>+Q105/P105</f>
        <v>#DIV/0!</v>
      </c>
      <c r="S105" s="3"/>
      <c r="T105" s="3"/>
      <c r="U105" s="3"/>
      <c r="V105" s="3"/>
      <c r="W105" s="3"/>
    </row>
    <row r="106" spans="2:23">
      <c r="B106" s="3" t="str">
        <f t="shared" si="2"/>
        <v>dic</v>
      </c>
      <c r="C106" s="3">
        <f t="shared" si="3"/>
        <v>50</v>
      </c>
      <c r="D106" s="4">
        <v>46363</v>
      </c>
      <c r="E106" s="3"/>
      <c r="F106" s="3"/>
      <c r="G106" s="3"/>
      <c r="H106" s="20">
        <f>+J106+L106+N106</f>
        <v>0</v>
      </c>
      <c r="I106" s="23">
        <f>+K106+M106+O106</f>
        <v>0</v>
      </c>
      <c r="J106" s="6"/>
      <c r="K106" s="3"/>
      <c r="L106" s="7"/>
      <c r="M106" s="6"/>
      <c r="N106" s="3"/>
      <c r="O106" s="7"/>
      <c r="P106" s="3"/>
      <c r="Q106" s="3"/>
      <c r="R106" s="6" t="e">
        <f>+Q106/P106</f>
        <v>#DIV/0!</v>
      </c>
      <c r="S106" s="3"/>
      <c r="T106" s="3"/>
      <c r="U106" s="3"/>
      <c r="V106" s="3"/>
      <c r="W106" s="3"/>
    </row>
    <row r="107" spans="2:23">
      <c r="B107" s="3" t="str">
        <f t="shared" si="2"/>
        <v>dic</v>
      </c>
      <c r="C107" s="3">
        <f t="shared" si="3"/>
        <v>50</v>
      </c>
      <c r="D107" s="4">
        <v>46364</v>
      </c>
      <c r="E107" s="3"/>
      <c r="F107" s="3"/>
      <c r="G107" s="3"/>
      <c r="H107" s="20">
        <f>+J107+L107+N107</f>
        <v>0</v>
      </c>
      <c r="I107" s="23">
        <f>+K107+M107+O107</f>
        <v>0</v>
      </c>
      <c r="J107" s="6"/>
      <c r="K107" s="3"/>
      <c r="L107" s="7"/>
      <c r="M107" s="6"/>
      <c r="N107" s="3"/>
      <c r="O107" s="7"/>
      <c r="P107" s="3"/>
      <c r="Q107" s="3"/>
      <c r="R107" s="6" t="e">
        <f>+Q107/P107</f>
        <v>#DIV/0!</v>
      </c>
      <c r="S107" s="3"/>
      <c r="T107" s="3"/>
      <c r="U107" s="3"/>
      <c r="V107" s="3"/>
      <c r="W107" s="3"/>
    </row>
    <row r="108" spans="2:23">
      <c r="B108" s="3" t="str">
        <f t="shared" si="2"/>
        <v>dic</v>
      </c>
      <c r="C108" s="3">
        <f t="shared" si="3"/>
        <v>50</v>
      </c>
      <c r="D108" s="4">
        <v>46365</v>
      </c>
      <c r="E108" s="3"/>
      <c r="F108" s="3"/>
      <c r="G108" s="3"/>
      <c r="H108" s="20">
        <f>+J108+L108+N108</f>
        <v>0</v>
      </c>
      <c r="I108" s="23">
        <f>+K108+M108+O108</f>
        <v>0</v>
      </c>
      <c r="J108" s="6"/>
      <c r="K108" s="3"/>
      <c r="L108" s="7"/>
      <c r="M108" s="6"/>
      <c r="N108" s="3"/>
      <c r="O108" s="7"/>
      <c r="P108" s="3"/>
      <c r="Q108" s="3"/>
      <c r="R108" s="6" t="e">
        <f>+Q108/P108</f>
        <v>#DIV/0!</v>
      </c>
      <c r="S108" s="3"/>
      <c r="T108" s="3"/>
      <c r="U108" s="3"/>
      <c r="V108" s="3"/>
      <c r="W108" s="3"/>
    </row>
    <row r="109" spans="2:23">
      <c r="B109" s="3" t="str">
        <f t="shared" si="2"/>
        <v>dic</v>
      </c>
      <c r="C109" s="3">
        <f t="shared" si="3"/>
        <v>50</v>
      </c>
      <c r="D109" s="4">
        <v>46366</v>
      </c>
      <c r="E109" s="3"/>
      <c r="F109" s="3"/>
      <c r="G109" s="3"/>
      <c r="H109" s="20">
        <f>+J109+L109+N109</f>
        <v>0</v>
      </c>
      <c r="I109" s="23">
        <f>+K109+M109+O109</f>
        <v>0</v>
      </c>
      <c r="J109" s="6"/>
      <c r="K109" s="3"/>
      <c r="L109" s="7"/>
      <c r="M109" s="6"/>
      <c r="N109" s="3"/>
      <c r="O109" s="7"/>
      <c r="P109" s="3"/>
      <c r="Q109" s="3"/>
      <c r="R109" s="6" t="e">
        <f>+Q109/P109</f>
        <v>#DIV/0!</v>
      </c>
      <c r="S109" s="3"/>
      <c r="T109" s="3"/>
      <c r="U109" s="3"/>
      <c r="V109" s="3"/>
      <c r="W109" s="3"/>
    </row>
    <row r="110" spans="2:23">
      <c r="B110" s="3" t="str">
        <f t="shared" si="2"/>
        <v>dic</v>
      </c>
      <c r="C110" s="3">
        <f t="shared" si="3"/>
        <v>50</v>
      </c>
      <c r="D110" s="4">
        <v>46367</v>
      </c>
      <c r="E110" s="3"/>
      <c r="F110" s="3"/>
      <c r="G110" s="3"/>
      <c r="H110" s="20">
        <f>+J110+L110+N110</f>
        <v>0</v>
      </c>
      <c r="I110" s="23">
        <f>+K110+M110+O110</f>
        <v>0</v>
      </c>
      <c r="J110" s="6"/>
      <c r="K110" s="3"/>
      <c r="L110" s="7"/>
      <c r="M110" s="6"/>
      <c r="N110" s="3"/>
      <c r="O110" s="7"/>
      <c r="P110" s="3"/>
      <c r="Q110" s="3"/>
      <c r="R110" s="6" t="e">
        <f>+Q110/P110</f>
        <v>#DIV/0!</v>
      </c>
      <c r="S110" s="3"/>
      <c r="T110" s="3"/>
      <c r="U110" s="3"/>
      <c r="V110" s="3"/>
      <c r="W110" s="3"/>
    </row>
    <row r="111" spans="2:23">
      <c r="B111" s="3" t="str">
        <f t="shared" si="2"/>
        <v>dic</v>
      </c>
      <c r="C111" s="3">
        <f t="shared" si="3"/>
        <v>50</v>
      </c>
      <c r="D111" s="4">
        <v>46368</v>
      </c>
      <c r="E111" s="3"/>
      <c r="F111" s="3"/>
      <c r="G111" s="3"/>
      <c r="H111" s="20">
        <f>+J111+L111+N111</f>
        <v>0</v>
      </c>
      <c r="I111" s="23">
        <f>+K111+M111+O111</f>
        <v>0</v>
      </c>
      <c r="J111" s="6"/>
      <c r="K111" s="3"/>
      <c r="L111" s="7"/>
      <c r="M111" s="6"/>
      <c r="N111" s="3"/>
      <c r="O111" s="7"/>
      <c r="P111" s="3"/>
      <c r="Q111" s="3"/>
      <c r="R111" s="6" t="e">
        <f>+Q111/P111</f>
        <v>#DIV/0!</v>
      </c>
      <c r="S111" s="3"/>
      <c r="T111" s="3"/>
      <c r="U111" s="3"/>
      <c r="V111" s="3"/>
      <c r="W111" s="3"/>
    </row>
    <row r="112" spans="2:23">
      <c r="B112" s="3" t="str">
        <f t="shared" si="2"/>
        <v>dic</v>
      </c>
      <c r="C112" s="3">
        <f t="shared" si="3"/>
        <v>51</v>
      </c>
      <c r="D112" s="4">
        <v>46369</v>
      </c>
      <c r="E112" s="3"/>
      <c r="F112" s="3"/>
      <c r="G112" s="3"/>
      <c r="H112" s="20">
        <f>+J112+L112+N112</f>
        <v>0</v>
      </c>
      <c r="I112" s="23">
        <f>+K112+M112+O112</f>
        <v>0</v>
      </c>
      <c r="J112" s="6"/>
      <c r="K112" s="3"/>
      <c r="L112" s="7"/>
      <c r="M112" s="6"/>
      <c r="N112" s="3"/>
      <c r="O112" s="7"/>
      <c r="P112" s="3"/>
      <c r="Q112" s="3"/>
      <c r="R112" s="6" t="e">
        <f>+Q112/P112</f>
        <v>#DIV/0!</v>
      </c>
      <c r="S112" s="3"/>
      <c r="T112" s="3"/>
      <c r="U112" s="3"/>
      <c r="V112" s="3"/>
      <c r="W112" s="3"/>
    </row>
    <row r="113" spans="2:23">
      <c r="B113" s="3" t="str">
        <f t="shared" si="2"/>
        <v>dic</v>
      </c>
      <c r="C113" s="3">
        <f t="shared" si="3"/>
        <v>51</v>
      </c>
      <c r="D113" s="4">
        <v>46370</v>
      </c>
      <c r="E113" s="3"/>
      <c r="F113" s="3"/>
      <c r="G113" s="3"/>
      <c r="H113" s="20">
        <f>+J113+L113+N113</f>
        <v>0</v>
      </c>
      <c r="I113" s="23">
        <f>+K113+M113+O113</f>
        <v>0</v>
      </c>
      <c r="J113" s="6"/>
      <c r="K113" s="3"/>
      <c r="L113" s="7"/>
      <c r="M113" s="6"/>
      <c r="N113" s="3"/>
      <c r="O113" s="7"/>
      <c r="P113" s="3"/>
      <c r="Q113" s="3"/>
      <c r="R113" s="6" t="e">
        <f>+Q113/P113</f>
        <v>#DIV/0!</v>
      </c>
      <c r="S113" s="3"/>
      <c r="T113" s="3"/>
      <c r="U113" s="3"/>
      <c r="V113" s="3"/>
      <c r="W113" s="3"/>
    </row>
    <row r="114" spans="2:23">
      <c r="B114" s="3" t="str">
        <f t="shared" si="2"/>
        <v>dic</v>
      </c>
      <c r="C114" s="3">
        <f t="shared" si="3"/>
        <v>51</v>
      </c>
      <c r="D114" s="4">
        <v>46371</v>
      </c>
      <c r="E114" s="3"/>
      <c r="F114" s="3"/>
      <c r="G114" s="3"/>
      <c r="H114" s="20">
        <f>+J114+L114+N114</f>
        <v>0</v>
      </c>
      <c r="I114" s="23">
        <f>+K114+M114+O114</f>
        <v>0</v>
      </c>
      <c r="J114" s="6"/>
      <c r="K114" s="3"/>
      <c r="L114" s="7"/>
      <c r="M114" s="6"/>
      <c r="N114" s="3"/>
      <c r="O114" s="7"/>
      <c r="P114" s="3"/>
      <c r="Q114" s="3"/>
      <c r="R114" s="6" t="e">
        <f>+Q114/P114</f>
        <v>#DIV/0!</v>
      </c>
      <c r="S114" s="3"/>
      <c r="T114" s="3"/>
      <c r="U114" s="3"/>
      <c r="V114" s="3"/>
      <c r="W114" s="3"/>
    </row>
    <row r="115" spans="2:23">
      <c r="B115" s="3" t="str">
        <f t="shared" si="2"/>
        <v>dic</v>
      </c>
      <c r="C115" s="3">
        <f t="shared" si="3"/>
        <v>51</v>
      </c>
      <c r="D115" s="4">
        <v>46372</v>
      </c>
      <c r="E115" s="3"/>
      <c r="F115" s="3"/>
      <c r="G115" s="3"/>
      <c r="H115" s="20">
        <f>+J115+L115+N115</f>
        <v>0</v>
      </c>
      <c r="I115" s="23">
        <f>+K115+M115+O115</f>
        <v>0</v>
      </c>
      <c r="J115" s="6"/>
      <c r="K115" s="3"/>
      <c r="L115" s="7"/>
      <c r="M115" s="6"/>
      <c r="N115" s="3"/>
      <c r="O115" s="7"/>
      <c r="P115" s="3"/>
      <c r="Q115" s="3"/>
      <c r="R115" s="6" t="e">
        <f>+Q115/P115</f>
        <v>#DIV/0!</v>
      </c>
      <c r="S115" s="3"/>
      <c r="T115" s="3"/>
      <c r="U115" s="3"/>
      <c r="V115" s="3"/>
      <c r="W115" s="3"/>
    </row>
    <row r="116" spans="2:23">
      <c r="B116" s="3" t="str">
        <f t="shared" si="2"/>
        <v>dic</v>
      </c>
      <c r="C116" s="3">
        <f t="shared" si="3"/>
        <v>51</v>
      </c>
      <c r="D116" s="4">
        <v>46373</v>
      </c>
      <c r="E116" s="3"/>
      <c r="F116" s="3"/>
      <c r="G116" s="3"/>
      <c r="H116" s="20">
        <f>+J116+L116+N116</f>
        <v>0</v>
      </c>
      <c r="I116" s="23">
        <f>+K116+M116+O116</f>
        <v>0</v>
      </c>
      <c r="J116" s="6"/>
      <c r="K116" s="3"/>
      <c r="L116" s="7"/>
      <c r="M116" s="6"/>
      <c r="N116" s="3"/>
      <c r="O116" s="7"/>
      <c r="P116" s="3"/>
      <c r="Q116" s="3"/>
      <c r="R116" s="6" t="e">
        <f>+Q116/P116</f>
        <v>#DIV/0!</v>
      </c>
      <c r="S116" s="3"/>
      <c r="T116" s="3"/>
      <c r="U116" s="3"/>
      <c r="V116" s="3"/>
      <c r="W116" s="3"/>
    </row>
    <row r="117" spans="2:23">
      <c r="B117" s="3" t="str">
        <f t="shared" si="2"/>
        <v>dic</v>
      </c>
      <c r="C117" s="3">
        <f t="shared" si="3"/>
        <v>51</v>
      </c>
      <c r="D117" s="4">
        <v>46374</v>
      </c>
      <c r="E117" s="3"/>
      <c r="F117" s="3"/>
      <c r="G117" s="3"/>
      <c r="H117" s="20">
        <f>+J117+L117+N117</f>
        <v>0</v>
      </c>
      <c r="I117" s="23">
        <f>+K117+M117+O117</f>
        <v>0</v>
      </c>
      <c r="J117" s="6"/>
      <c r="K117" s="3"/>
      <c r="L117" s="7"/>
      <c r="M117" s="6"/>
      <c r="N117" s="3"/>
      <c r="O117" s="7"/>
      <c r="P117" s="3"/>
      <c r="Q117" s="3"/>
      <c r="R117" s="6" t="e">
        <f>+Q117/P117</f>
        <v>#DIV/0!</v>
      </c>
      <c r="S117" s="3"/>
      <c r="T117" s="3"/>
      <c r="U117" s="3"/>
      <c r="V117" s="3"/>
      <c r="W117" s="3"/>
    </row>
    <row r="118" spans="2:23">
      <c r="B118" s="3" t="str">
        <f t="shared" si="2"/>
        <v>dic</v>
      </c>
      <c r="C118" s="3">
        <f t="shared" si="3"/>
        <v>51</v>
      </c>
      <c r="D118" s="4">
        <v>46375</v>
      </c>
      <c r="E118" s="3"/>
      <c r="F118" s="3"/>
      <c r="G118" s="3"/>
      <c r="H118" s="20">
        <f>+J118+L118+N118</f>
        <v>0</v>
      </c>
      <c r="I118" s="23">
        <f>+K118+M118+O118</f>
        <v>0</v>
      </c>
      <c r="J118" s="6"/>
      <c r="K118" s="3"/>
      <c r="L118" s="7"/>
      <c r="M118" s="6"/>
      <c r="N118" s="3"/>
      <c r="O118" s="7"/>
      <c r="P118" s="3"/>
      <c r="Q118" s="3"/>
      <c r="R118" s="6" t="e">
        <f>+Q118/P118</f>
        <v>#DIV/0!</v>
      </c>
      <c r="S118" s="3"/>
      <c r="T118" s="3"/>
      <c r="U118" s="3"/>
      <c r="V118" s="3"/>
      <c r="W118" s="3"/>
    </row>
    <row r="119" spans="2:23">
      <c r="B119" s="3" t="str">
        <f t="shared" si="2"/>
        <v>dic</v>
      </c>
      <c r="C119" s="3">
        <f t="shared" si="3"/>
        <v>52</v>
      </c>
      <c r="D119" s="4">
        <v>46376</v>
      </c>
      <c r="E119" s="3"/>
      <c r="F119" s="3"/>
      <c r="G119" s="3"/>
      <c r="H119" s="20">
        <f>+J119+L119+N119</f>
        <v>0</v>
      </c>
      <c r="I119" s="23">
        <f>+K119+M119+O119</f>
        <v>0</v>
      </c>
      <c r="J119" s="6"/>
      <c r="K119" s="3"/>
      <c r="L119" s="7"/>
      <c r="M119" s="6"/>
      <c r="N119" s="3"/>
      <c r="O119" s="7"/>
      <c r="P119" s="3"/>
      <c r="Q119" s="3"/>
      <c r="R119" s="6" t="e">
        <f>+Q119/P119</f>
        <v>#DIV/0!</v>
      </c>
      <c r="S119" s="3"/>
      <c r="T119" s="3"/>
      <c r="U119" s="3"/>
      <c r="V119" s="3"/>
      <c r="W119" s="3"/>
    </row>
    <row r="120" spans="2:23">
      <c r="B120" s="3" t="str">
        <f t="shared" si="2"/>
        <v>dic</v>
      </c>
      <c r="C120" s="3">
        <f t="shared" si="3"/>
        <v>52</v>
      </c>
      <c r="D120" s="4">
        <v>46377</v>
      </c>
      <c r="E120" s="3"/>
      <c r="F120" s="3"/>
      <c r="G120" s="3"/>
      <c r="H120" s="20">
        <f>+J120+L120+N120</f>
        <v>0</v>
      </c>
      <c r="I120" s="23">
        <f>+K120+M120+O120</f>
        <v>0</v>
      </c>
      <c r="J120" s="6"/>
      <c r="K120" s="3"/>
      <c r="L120" s="7"/>
      <c r="M120" s="6"/>
      <c r="N120" s="3"/>
      <c r="O120" s="7"/>
      <c r="P120" s="3"/>
      <c r="Q120" s="3"/>
      <c r="R120" s="6" t="e">
        <f>+Q120/P120</f>
        <v>#DIV/0!</v>
      </c>
      <c r="S120" s="3"/>
      <c r="T120" s="3"/>
      <c r="U120" s="3"/>
      <c r="V120" s="3"/>
      <c r="W120" s="3"/>
    </row>
    <row r="121" spans="2:23">
      <c r="B121" s="3" t="str">
        <f t="shared" si="2"/>
        <v>dic</v>
      </c>
      <c r="C121" s="3">
        <f t="shared" si="3"/>
        <v>52</v>
      </c>
      <c r="D121" s="4">
        <v>46378</v>
      </c>
      <c r="E121" s="3"/>
      <c r="F121" s="3"/>
      <c r="G121" s="3"/>
      <c r="H121" s="20">
        <f>+J121+L121+N121</f>
        <v>0</v>
      </c>
      <c r="I121" s="23">
        <f>+K121+M121+O121</f>
        <v>0</v>
      </c>
      <c r="J121" s="6"/>
      <c r="K121" s="3"/>
      <c r="L121" s="7"/>
      <c r="M121" s="6"/>
      <c r="N121" s="3"/>
      <c r="O121" s="7"/>
      <c r="P121" s="3"/>
      <c r="Q121" s="3"/>
      <c r="R121" s="6" t="e">
        <f>+Q121/P121</f>
        <v>#DIV/0!</v>
      </c>
      <c r="S121" s="3"/>
      <c r="T121" s="3"/>
      <c r="U121" s="3"/>
      <c r="V121" s="3"/>
      <c r="W121" s="3"/>
    </row>
    <row r="122" spans="2:23">
      <c r="B122" s="3" t="str">
        <f t="shared" si="2"/>
        <v>dic</v>
      </c>
      <c r="C122" s="3">
        <f t="shared" si="3"/>
        <v>52</v>
      </c>
      <c r="D122" s="4">
        <v>46379</v>
      </c>
      <c r="E122" s="3"/>
      <c r="F122" s="3"/>
      <c r="G122" s="3"/>
      <c r="H122" s="20">
        <f>+J122+L122+N122</f>
        <v>0</v>
      </c>
      <c r="I122" s="23">
        <f>+K122+M122+O122</f>
        <v>0</v>
      </c>
      <c r="J122" s="6"/>
      <c r="K122" s="3"/>
      <c r="L122" s="7"/>
      <c r="M122" s="6"/>
      <c r="N122" s="3"/>
      <c r="O122" s="7"/>
      <c r="P122" s="3"/>
      <c r="Q122" s="3"/>
      <c r="R122" s="6" t="e">
        <f>+Q122/P122</f>
        <v>#DIV/0!</v>
      </c>
      <c r="S122" s="3"/>
      <c r="T122" s="3"/>
      <c r="U122" s="3"/>
      <c r="V122" s="3"/>
      <c r="W122" s="3"/>
    </row>
    <row r="123" spans="2:23">
      <c r="B123" s="3" t="str">
        <f t="shared" si="2"/>
        <v>dic</v>
      </c>
      <c r="C123" s="3">
        <f t="shared" si="3"/>
        <v>52</v>
      </c>
      <c r="D123" s="4">
        <v>46380</v>
      </c>
      <c r="E123" s="3"/>
      <c r="F123" s="3"/>
      <c r="G123" s="3"/>
      <c r="H123" s="20">
        <f>+J123+L123+N123</f>
        <v>0</v>
      </c>
      <c r="I123" s="23">
        <f>+K123+M123+O123</f>
        <v>0</v>
      </c>
      <c r="J123" s="6"/>
      <c r="K123" s="3"/>
      <c r="L123" s="7"/>
      <c r="M123" s="6"/>
      <c r="N123" s="3"/>
      <c r="O123" s="7"/>
      <c r="P123" s="3"/>
      <c r="Q123" s="3"/>
      <c r="R123" s="6" t="e">
        <f>+Q123/P123</f>
        <v>#DIV/0!</v>
      </c>
      <c r="S123" s="3"/>
      <c r="T123" s="3"/>
      <c r="U123" s="3"/>
      <c r="V123" s="3"/>
      <c r="W123" s="3"/>
    </row>
    <row r="124" spans="2:23">
      <c r="B124" s="3" t="str">
        <f t="shared" si="2"/>
        <v>dic</v>
      </c>
      <c r="C124" s="3">
        <f t="shared" si="3"/>
        <v>52</v>
      </c>
      <c r="D124" s="4">
        <v>46381</v>
      </c>
      <c r="E124" s="3"/>
      <c r="F124" s="3"/>
      <c r="G124" s="3"/>
      <c r="H124" s="20">
        <f>+J124+L124+N124</f>
        <v>0</v>
      </c>
      <c r="I124" s="23">
        <f>+K124+M124+O124</f>
        <v>0</v>
      </c>
      <c r="J124" s="6"/>
      <c r="K124" s="3"/>
      <c r="L124" s="7"/>
      <c r="M124" s="6"/>
      <c r="N124" s="3"/>
      <c r="O124" s="7"/>
      <c r="P124" s="3"/>
      <c r="Q124" s="3"/>
      <c r="R124" s="6" t="e">
        <f>+Q124/P124</f>
        <v>#DIV/0!</v>
      </c>
      <c r="S124" s="3"/>
      <c r="T124" s="3"/>
      <c r="U124" s="3"/>
      <c r="V124" s="3"/>
      <c r="W124" s="3"/>
    </row>
    <row r="125" spans="2:23">
      <c r="B125" s="3" t="str">
        <f t="shared" si="2"/>
        <v>dic</v>
      </c>
      <c r="C125" s="3">
        <f t="shared" si="3"/>
        <v>52</v>
      </c>
      <c r="D125" s="4">
        <v>46382</v>
      </c>
      <c r="E125" s="3"/>
      <c r="F125" s="3"/>
      <c r="G125" s="3"/>
      <c r="H125" s="20">
        <f>+J125+L125+N125</f>
        <v>0</v>
      </c>
      <c r="I125" s="23">
        <f>+K125+M125+O125</f>
        <v>0</v>
      </c>
      <c r="J125" s="6"/>
      <c r="K125" s="3"/>
      <c r="L125" s="7"/>
      <c r="M125" s="6"/>
      <c r="N125" s="3"/>
      <c r="O125" s="7"/>
      <c r="P125" s="3"/>
      <c r="Q125" s="3"/>
      <c r="R125" s="6" t="e">
        <f>+Q125/P125</f>
        <v>#DIV/0!</v>
      </c>
      <c r="S125" s="3"/>
      <c r="T125" s="3"/>
      <c r="U125" s="3"/>
      <c r="V125" s="3"/>
      <c r="W125" s="3"/>
    </row>
    <row r="126" spans="2:23">
      <c r="B126" s="3" t="str">
        <f t="shared" si="2"/>
        <v>dic</v>
      </c>
      <c r="C126" s="3">
        <f t="shared" si="3"/>
        <v>53</v>
      </c>
      <c r="D126" s="4">
        <v>46383</v>
      </c>
      <c r="E126" s="3"/>
      <c r="F126" s="3"/>
      <c r="G126" s="3"/>
      <c r="H126" s="20">
        <f>+J126+L126+N126</f>
        <v>0</v>
      </c>
      <c r="I126" s="23">
        <f>+K126+M126+O126</f>
        <v>0</v>
      </c>
      <c r="J126" s="6"/>
      <c r="K126" s="3"/>
      <c r="L126" s="7"/>
      <c r="M126" s="6"/>
      <c r="N126" s="3"/>
      <c r="O126" s="7"/>
      <c r="P126" s="3"/>
      <c r="Q126" s="3"/>
      <c r="R126" s="6" t="e">
        <f>+Q126/P126</f>
        <v>#DIV/0!</v>
      </c>
      <c r="S126" s="3"/>
      <c r="T126" s="3"/>
      <c r="U126" s="3"/>
      <c r="V126" s="3"/>
      <c r="W126" s="3"/>
    </row>
    <row r="127" spans="2:23">
      <c r="B127" s="3" t="str">
        <f t="shared" si="2"/>
        <v>dic</v>
      </c>
      <c r="C127" s="3">
        <f t="shared" si="3"/>
        <v>53</v>
      </c>
      <c r="D127" s="4">
        <v>46384</v>
      </c>
      <c r="E127" s="3"/>
      <c r="F127" s="3"/>
      <c r="G127" s="3"/>
      <c r="H127" s="20">
        <f>+J127+L127+N127</f>
        <v>0</v>
      </c>
      <c r="I127" s="23">
        <f>+K127+M127+O127</f>
        <v>0</v>
      </c>
      <c r="J127" s="6"/>
      <c r="K127" s="3"/>
      <c r="L127" s="7"/>
      <c r="M127" s="6"/>
      <c r="N127" s="3"/>
      <c r="O127" s="7"/>
      <c r="P127" s="3"/>
      <c r="Q127" s="3"/>
      <c r="R127" s="6" t="e">
        <f>+Q127/P127</f>
        <v>#DIV/0!</v>
      </c>
      <c r="S127" s="3"/>
      <c r="T127" s="3"/>
      <c r="U127" s="3"/>
      <c r="V127" s="3"/>
      <c r="W127" s="3"/>
    </row>
    <row r="128" spans="2:23">
      <c r="B128" s="3" t="str">
        <f t="shared" si="2"/>
        <v>dic</v>
      </c>
      <c r="C128" s="3">
        <f t="shared" si="3"/>
        <v>53</v>
      </c>
      <c r="D128" s="4">
        <v>46385</v>
      </c>
      <c r="E128" s="3"/>
      <c r="F128" s="3"/>
      <c r="G128" s="3"/>
      <c r="H128" s="20">
        <f>+J128+L128+N128</f>
        <v>0</v>
      </c>
      <c r="I128" s="23">
        <f>+K128+M128+O128</f>
        <v>0</v>
      </c>
      <c r="J128" s="6"/>
      <c r="K128" s="3"/>
      <c r="L128" s="7"/>
      <c r="M128" s="6"/>
      <c r="N128" s="3"/>
      <c r="O128" s="7"/>
      <c r="P128" s="3"/>
      <c r="Q128" s="3"/>
      <c r="R128" s="6" t="e">
        <f>+Q128/P128</f>
        <v>#DIV/0!</v>
      </c>
      <c r="S128" s="3"/>
      <c r="T128" s="3"/>
      <c r="U128" s="3"/>
      <c r="V128" s="3"/>
      <c r="W128" s="3"/>
    </row>
    <row r="129" spans="2:23">
      <c r="B129" s="3" t="str">
        <f t="shared" si="2"/>
        <v>dic</v>
      </c>
      <c r="C129" s="3">
        <f t="shared" si="3"/>
        <v>53</v>
      </c>
      <c r="D129" s="4">
        <v>46386</v>
      </c>
      <c r="E129" s="3"/>
      <c r="F129" s="3"/>
      <c r="G129" s="3"/>
      <c r="H129" s="20">
        <f>+J129+L129+N129</f>
        <v>0</v>
      </c>
      <c r="I129" s="23">
        <f>+K129+M129+O129</f>
        <v>0</v>
      </c>
      <c r="J129" s="6"/>
      <c r="K129" s="3"/>
      <c r="L129" s="7"/>
      <c r="M129" s="6"/>
      <c r="N129" s="3"/>
      <c r="O129" s="7"/>
      <c r="P129" s="3"/>
      <c r="Q129" s="3"/>
      <c r="R129" s="6" t="e">
        <f>+Q129/P129</f>
        <v>#DIV/0!</v>
      </c>
      <c r="S129" s="3"/>
      <c r="T129" s="3"/>
      <c r="U129" s="3"/>
      <c r="V129" s="3"/>
      <c r="W129" s="3"/>
    </row>
    <row r="130" spans="2:23">
      <c r="B130" s="3" t="str">
        <f t="shared" si="2"/>
        <v>dic</v>
      </c>
      <c r="C130" s="3">
        <f t="shared" si="3"/>
        <v>53</v>
      </c>
      <c r="D130" s="4">
        <v>46387</v>
      </c>
      <c r="E130" s="3"/>
      <c r="F130" s="3"/>
      <c r="G130" s="3"/>
      <c r="H130" s="20">
        <f>+J130+L130+N130</f>
        <v>0</v>
      </c>
      <c r="I130" s="23">
        <f>+K130+M130+O130</f>
        <v>0</v>
      </c>
      <c r="J130" s="6"/>
      <c r="K130" s="3"/>
      <c r="L130" s="7"/>
      <c r="M130" s="6"/>
      <c r="N130" s="3"/>
      <c r="O130" s="7"/>
      <c r="P130" s="3"/>
      <c r="Q130" s="3"/>
      <c r="R130" s="6" t="e">
        <f>+Q130/P130</f>
        <v>#DIV/0!</v>
      </c>
      <c r="S130" s="3"/>
      <c r="T130" s="3"/>
      <c r="U130" s="3"/>
      <c r="V130" s="3"/>
      <c r="W130" s="3"/>
    </row>
  </sheetData>
  <phoneticPr fontId="4" type="noConversion"/>
  <conditionalFormatting sqref="N3:N130">
    <cfRule type="cellIs" dxfId="9" priority="3" operator="lessThan">
      <formula>0</formula>
    </cfRule>
  </conditionalFormatting>
  <conditionalFormatting sqref="K4:K130">
    <cfRule type="cellIs" dxfId="8" priority="1" operator="lessThan">
      <formula>0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B4BB6-73A1-0947-9C41-1C84F7F76940}">
  <dimension ref="B2:W131"/>
  <sheetViews>
    <sheetView showGridLines="0" zoomScaleNormal="100" workbookViewId="0">
      <pane xSplit="4" ySplit="2" topLeftCell="E29" activePane="bottomRight" state="frozen"/>
      <selection pane="bottomRight" activeCell="H32" sqref="H32"/>
      <selection pane="bottomLeft" activeCell="A3" sqref="A3"/>
      <selection pane="topRight" activeCell="E1" sqref="E1"/>
    </sheetView>
  </sheetViews>
  <sheetFormatPr defaultColWidth="11" defaultRowHeight="16.5"/>
  <cols>
    <col min="1" max="1" width="4.5" customWidth="1"/>
    <col min="2" max="2" width="4.625" bestFit="1" customWidth="1"/>
    <col min="3" max="3" width="7.875" bestFit="1" customWidth="1"/>
    <col min="4" max="4" width="9.875" bestFit="1" customWidth="1"/>
    <col min="5" max="5" width="6.5" bestFit="1" customWidth="1"/>
    <col min="6" max="6" width="11.375" bestFit="1" customWidth="1"/>
    <col min="7" max="7" width="13.125" bestFit="1" customWidth="1"/>
    <col min="8" max="8" width="13.625" bestFit="1" customWidth="1"/>
    <col min="9" max="9" width="11.5" bestFit="1" customWidth="1"/>
    <col min="10" max="10" width="9.5" bestFit="1" customWidth="1"/>
    <col min="11" max="11" width="11.5" bestFit="1" customWidth="1"/>
    <col min="12" max="12" width="8.5" bestFit="1" customWidth="1"/>
    <col min="13" max="13" width="11.5" bestFit="1" customWidth="1"/>
    <col min="14" max="14" width="9.5" bestFit="1" customWidth="1"/>
    <col min="15" max="15" width="11.5" bestFit="1" customWidth="1"/>
    <col min="16" max="16" width="14" customWidth="1"/>
    <col min="17" max="17" width="11.5" customWidth="1"/>
    <col min="18" max="18" width="5.875" bestFit="1" customWidth="1"/>
    <col min="19" max="19" width="34.625" customWidth="1"/>
    <col min="20" max="20" width="41.125" bestFit="1" customWidth="1"/>
    <col min="21" max="21" width="28.125" customWidth="1"/>
    <col min="22" max="22" width="10.125" bestFit="1" customWidth="1"/>
    <col min="23" max="23" width="8.125" bestFit="1" customWidth="1"/>
  </cols>
  <sheetData>
    <row r="2" spans="2:23" s="11" customFormat="1" ht="45">
      <c r="B2" s="8" t="s">
        <v>0</v>
      </c>
      <c r="C2" s="8" t="s">
        <v>1</v>
      </c>
      <c r="D2" s="8" t="s">
        <v>2</v>
      </c>
      <c r="E2" s="12" t="s">
        <v>3</v>
      </c>
      <c r="F2" s="12" t="s">
        <v>4</v>
      </c>
      <c r="G2" s="12" t="s">
        <v>5</v>
      </c>
      <c r="H2" s="12" t="s">
        <v>6</v>
      </c>
      <c r="I2" s="12" t="s">
        <v>7</v>
      </c>
      <c r="J2" s="12" t="s">
        <v>64</v>
      </c>
      <c r="K2" s="12" t="s">
        <v>65</v>
      </c>
      <c r="L2" s="12" t="s">
        <v>10</v>
      </c>
      <c r="M2" s="12" t="s">
        <v>11</v>
      </c>
      <c r="N2" s="12" t="s">
        <v>12</v>
      </c>
      <c r="O2" s="12" t="s">
        <v>13</v>
      </c>
      <c r="P2" s="8" t="s">
        <v>14</v>
      </c>
      <c r="Q2" s="8" t="s">
        <v>15</v>
      </c>
      <c r="R2" s="8" t="s">
        <v>16</v>
      </c>
      <c r="S2" s="10" t="s">
        <v>17</v>
      </c>
      <c r="T2" s="10" t="s">
        <v>18</v>
      </c>
      <c r="U2" s="10" t="s">
        <v>19</v>
      </c>
      <c r="V2" s="10" t="s">
        <v>20</v>
      </c>
      <c r="W2" s="10" t="s">
        <v>21</v>
      </c>
    </row>
    <row r="3" spans="2:23" s="19" customFormat="1">
      <c r="B3" s="3" t="str">
        <f>+TEXT(D3,"MMM")</f>
        <v>Aug</v>
      </c>
      <c r="C3" s="3">
        <f>+WEEKNUM(D3)</f>
        <v>35</v>
      </c>
      <c r="D3" s="4">
        <v>46260</v>
      </c>
      <c r="E3" s="3">
        <v>2</v>
      </c>
      <c r="F3" s="3">
        <v>32</v>
      </c>
      <c r="G3" s="22">
        <v>18967.740000000002</v>
      </c>
      <c r="H3" s="20">
        <f>+J3+L3+N3</f>
        <v>2</v>
      </c>
      <c r="I3" s="23">
        <f>+K3+M3+O3</f>
        <v>13342.01</v>
      </c>
      <c r="J3" s="3">
        <v>2</v>
      </c>
      <c r="K3" s="22">
        <v>13342.01</v>
      </c>
      <c r="L3" s="3">
        <v>0</v>
      </c>
      <c r="M3" s="22">
        <v>0</v>
      </c>
      <c r="N3" s="3">
        <v>0</v>
      </c>
      <c r="O3" s="22">
        <v>0</v>
      </c>
      <c r="P3" s="3">
        <v>4</v>
      </c>
      <c r="Q3" s="3">
        <v>4</v>
      </c>
      <c r="R3" s="21">
        <f>+Q3/P3</f>
        <v>1</v>
      </c>
      <c r="S3" s="13"/>
      <c r="T3" s="13"/>
      <c r="U3" s="13"/>
      <c r="V3" s="13"/>
      <c r="W3" s="13"/>
    </row>
    <row r="4" spans="2:23">
      <c r="B4" s="3" t="str">
        <f t="shared" ref="B4:B67" si="0">+TEXT(D4,"MMM")</f>
        <v>Aug</v>
      </c>
      <c r="C4" s="3">
        <f t="shared" ref="C4:C67" si="1">+WEEKNUM(D4)</f>
        <v>35</v>
      </c>
      <c r="D4" s="4">
        <v>46261</v>
      </c>
      <c r="E4" s="3">
        <v>2</v>
      </c>
      <c r="F4" s="3">
        <v>32</v>
      </c>
      <c r="G4" s="22">
        <v>18967.740000000002</v>
      </c>
      <c r="H4" s="20">
        <f>+J4+L4+N4</f>
        <v>2</v>
      </c>
      <c r="I4" s="23">
        <f>+K4+M4+O4</f>
        <v>13342</v>
      </c>
      <c r="J4" s="3">
        <v>0</v>
      </c>
      <c r="K4" s="22">
        <v>0</v>
      </c>
      <c r="L4" s="3">
        <v>2</v>
      </c>
      <c r="M4" s="22">
        <v>13342</v>
      </c>
      <c r="N4" s="3">
        <v>0</v>
      </c>
      <c r="O4" s="22">
        <v>0</v>
      </c>
      <c r="P4" s="3">
        <v>0</v>
      </c>
      <c r="Q4" s="3">
        <v>0</v>
      </c>
      <c r="R4" s="21" t="e">
        <f>+Q4/P4</f>
        <v>#DIV/0!</v>
      </c>
      <c r="S4" s="3" t="s">
        <v>66</v>
      </c>
      <c r="T4" s="3" t="s">
        <v>67</v>
      </c>
      <c r="U4" s="3"/>
      <c r="V4" s="3"/>
      <c r="W4" s="3"/>
    </row>
    <row r="5" spans="2:23">
      <c r="B5" s="3" t="str">
        <f t="shared" si="0"/>
        <v>Aug</v>
      </c>
      <c r="C5" s="3">
        <f t="shared" si="1"/>
        <v>35</v>
      </c>
      <c r="D5" s="4">
        <v>46262</v>
      </c>
      <c r="E5" s="3">
        <v>2</v>
      </c>
      <c r="F5" s="3">
        <v>34</v>
      </c>
      <c r="G5" s="22">
        <v>31692.77</v>
      </c>
      <c r="H5" s="20">
        <f>+J5+L5+N5</f>
        <v>0</v>
      </c>
      <c r="I5" s="23">
        <f>+K5+M5+O5</f>
        <v>0</v>
      </c>
      <c r="J5" s="3">
        <v>0</v>
      </c>
      <c r="K5" s="22">
        <v>0</v>
      </c>
      <c r="L5" s="3">
        <v>0</v>
      </c>
      <c r="M5" s="22">
        <v>0</v>
      </c>
      <c r="N5" s="3">
        <v>0</v>
      </c>
      <c r="O5" s="22">
        <v>0</v>
      </c>
      <c r="P5" s="3">
        <v>2</v>
      </c>
      <c r="Q5" s="3">
        <v>2</v>
      </c>
      <c r="R5" s="21">
        <f>+Q5/P5</f>
        <v>1</v>
      </c>
      <c r="S5" s="3" t="s">
        <v>67</v>
      </c>
      <c r="T5" s="3" t="s">
        <v>68</v>
      </c>
      <c r="U5" s="3" t="s">
        <v>25</v>
      </c>
      <c r="V5" s="3"/>
      <c r="W5" s="3"/>
    </row>
    <row r="6" spans="2:23">
      <c r="B6" s="3" t="str">
        <f t="shared" si="0"/>
        <v>Aug</v>
      </c>
      <c r="C6" s="3">
        <f t="shared" si="1"/>
        <v>35</v>
      </c>
      <c r="D6" s="4">
        <v>46263</v>
      </c>
      <c r="E6" s="3">
        <v>2</v>
      </c>
      <c r="F6" s="3">
        <v>34</v>
      </c>
      <c r="G6" s="22">
        <v>31692.77</v>
      </c>
      <c r="H6" s="20">
        <f>+J6+L6+N6</f>
        <v>0</v>
      </c>
      <c r="I6" s="23">
        <f>+K6+M6+O6</f>
        <v>0</v>
      </c>
      <c r="J6" s="3">
        <v>0</v>
      </c>
      <c r="K6" s="22">
        <v>0</v>
      </c>
      <c r="L6" s="3">
        <v>0</v>
      </c>
      <c r="M6" s="22">
        <v>0</v>
      </c>
      <c r="N6" s="3">
        <v>0</v>
      </c>
      <c r="O6" s="22">
        <v>0</v>
      </c>
      <c r="P6" s="3">
        <v>2</v>
      </c>
      <c r="Q6" s="3">
        <v>2</v>
      </c>
      <c r="R6" s="21">
        <f>+Q6/P6</f>
        <v>1</v>
      </c>
      <c r="S6" s="3" t="s">
        <v>67</v>
      </c>
      <c r="T6" s="3" t="s">
        <v>68</v>
      </c>
      <c r="U6" s="3" t="s">
        <v>25</v>
      </c>
      <c r="V6" s="3"/>
      <c r="W6" s="3"/>
    </row>
    <row r="7" spans="2:23">
      <c r="B7" s="3" t="str">
        <f t="shared" si="0"/>
        <v>Aug</v>
      </c>
      <c r="C7" s="3">
        <f t="shared" si="1"/>
        <v>36</v>
      </c>
      <c r="D7" s="4">
        <v>46264</v>
      </c>
      <c r="E7" s="3">
        <v>2</v>
      </c>
      <c r="F7" s="3">
        <v>34</v>
      </c>
      <c r="G7" s="22">
        <v>31692.77</v>
      </c>
      <c r="H7" s="20">
        <f>+J7+L7+N7</f>
        <v>0</v>
      </c>
      <c r="I7" s="23">
        <f>+K7+M7+O7</f>
        <v>0</v>
      </c>
      <c r="J7" s="3">
        <v>0</v>
      </c>
      <c r="K7" s="22">
        <v>0</v>
      </c>
      <c r="L7" s="3">
        <v>0</v>
      </c>
      <c r="M7" s="22">
        <v>0</v>
      </c>
      <c r="N7" s="3">
        <v>0</v>
      </c>
      <c r="O7" s="22">
        <v>0</v>
      </c>
      <c r="P7" s="3">
        <v>2</v>
      </c>
      <c r="Q7" s="3">
        <v>2</v>
      </c>
      <c r="R7" s="21">
        <f>+Q7/P7</f>
        <v>1</v>
      </c>
      <c r="S7" s="3" t="s">
        <v>67</v>
      </c>
      <c r="T7" s="3" t="s">
        <v>68</v>
      </c>
      <c r="U7" s="3" t="s">
        <v>25</v>
      </c>
      <c r="V7" s="3"/>
      <c r="W7" s="3"/>
    </row>
    <row r="8" spans="2:23">
      <c r="B8" s="3" t="str">
        <f t="shared" si="0"/>
        <v>Aug</v>
      </c>
      <c r="C8" s="3">
        <f t="shared" si="1"/>
        <v>36</v>
      </c>
      <c r="D8" s="4">
        <v>46265</v>
      </c>
      <c r="E8" s="3">
        <v>2</v>
      </c>
      <c r="F8" s="3">
        <v>34</v>
      </c>
      <c r="G8" s="22">
        <v>31692.77</v>
      </c>
      <c r="H8" s="20">
        <f>+J8+L8+N8</f>
        <v>0</v>
      </c>
      <c r="I8" s="23">
        <f>+K8+M8+O8</f>
        <v>0</v>
      </c>
      <c r="J8" s="3">
        <v>0</v>
      </c>
      <c r="K8" s="22">
        <v>0</v>
      </c>
      <c r="L8" s="3">
        <v>0</v>
      </c>
      <c r="M8" s="22">
        <v>0</v>
      </c>
      <c r="N8" s="3">
        <v>0</v>
      </c>
      <c r="O8" s="22">
        <v>0</v>
      </c>
      <c r="P8" s="3">
        <v>0</v>
      </c>
      <c r="Q8" s="3">
        <v>0</v>
      </c>
      <c r="R8" s="21" t="e">
        <f>+Q8/P8</f>
        <v>#DIV/0!</v>
      </c>
      <c r="S8" s="14" t="s">
        <v>69</v>
      </c>
      <c r="T8" s="3" t="s">
        <v>70</v>
      </c>
      <c r="U8" s="3"/>
      <c r="V8" s="3"/>
      <c r="W8" s="3"/>
    </row>
    <row r="9" spans="2:23" ht="15.75">
      <c r="B9" s="3" t="str">
        <f t="shared" si="0"/>
        <v>Sep</v>
      </c>
      <c r="C9" s="3">
        <f t="shared" si="1"/>
        <v>36</v>
      </c>
      <c r="D9" s="4">
        <v>46266</v>
      </c>
      <c r="E9" s="3">
        <v>2</v>
      </c>
      <c r="F9" s="3">
        <v>0</v>
      </c>
      <c r="G9" s="22">
        <v>0</v>
      </c>
      <c r="H9" s="20">
        <f>+J9+L9+N9</f>
        <v>0</v>
      </c>
      <c r="I9" s="23">
        <f>+K9+M9+O9</f>
        <v>0</v>
      </c>
      <c r="J9" s="3">
        <v>0</v>
      </c>
      <c r="K9" s="22">
        <v>0</v>
      </c>
      <c r="L9" s="3">
        <v>0</v>
      </c>
      <c r="M9" s="22">
        <v>0</v>
      </c>
      <c r="N9" s="3">
        <v>0</v>
      </c>
      <c r="O9" s="22">
        <v>0</v>
      </c>
      <c r="P9" s="3">
        <v>0</v>
      </c>
      <c r="Q9" s="3">
        <v>0</v>
      </c>
      <c r="R9" s="21" t="e">
        <f>+Q9/P9</f>
        <v>#DIV/0!</v>
      </c>
      <c r="S9" s="14" t="s">
        <v>71</v>
      </c>
      <c r="T9" s="3" t="s">
        <v>72</v>
      </c>
      <c r="U9" s="3" t="s">
        <v>73</v>
      </c>
      <c r="V9" s="3"/>
      <c r="W9" s="3"/>
    </row>
    <row r="10" spans="2:23">
      <c r="B10" s="3" t="str">
        <f t="shared" si="0"/>
        <v>Sep</v>
      </c>
      <c r="C10" s="3">
        <f t="shared" si="1"/>
        <v>36</v>
      </c>
      <c r="D10" s="4">
        <v>46267</v>
      </c>
      <c r="E10" s="3">
        <v>2</v>
      </c>
      <c r="F10" s="3">
        <v>0</v>
      </c>
      <c r="G10" s="22">
        <v>0</v>
      </c>
      <c r="H10" s="20">
        <f>+J10+L10+N10</f>
        <v>0</v>
      </c>
      <c r="I10" s="23">
        <f>+K10+M10+O10</f>
        <v>0</v>
      </c>
      <c r="J10" s="3">
        <v>0</v>
      </c>
      <c r="K10" s="22">
        <v>0</v>
      </c>
      <c r="L10" s="3">
        <v>0</v>
      </c>
      <c r="M10" s="22">
        <v>0</v>
      </c>
      <c r="N10" s="3">
        <v>0</v>
      </c>
      <c r="O10" s="22">
        <v>0</v>
      </c>
      <c r="P10" s="3">
        <v>1</v>
      </c>
      <c r="Q10" s="3">
        <v>1</v>
      </c>
      <c r="R10" s="21">
        <f>+Q10/P10</f>
        <v>1</v>
      </c>
      <c r="S10" s="14" t="s">
        <v>72</v>
      </c>
      <c r="T10" s="3" t="s">
        <v>73</v>
      </c>
      <c r="U10" s="3" t="s">
        <v>74</v>
      </c>
      <c r="V10" s="3"/>
      <c r="W10" s="3"/>
    </row>
    <row r="11" spans="2:23" ht="15.75">
      <c r="B11" s="3" t="str">
        <f t="shared" si="0"/>
        <v>Sep</v>
      </c>
      <c r="C11" s="3">
        <f t="shared" si="1"/>
        <v>36</v>
      </c>
      <c r="D11" s="4">
        <v>46268</v>
      </c>
      <c r="E11" s="3">
        <v>2</v>
      </c>
      <c r="F11" s="3">
        <v>0</v>
      </c>
      <c r="G11" s="22">
        <v>4338.8</v>
      </c>
      <c r="H11" s="20">
        <v>1</v>
      </c>
      <c r="I11" s="23">
        <v>3522.8</v>
      </c>
      <c r="J11" s="3">
        <v>0</v>
      </c>
      <c r="K11" s="22">
        <v>0</v>
      </c>
      <c r="L11" s="3">
        <v>1</v>
      </c>
      <c r="M11" s="22">
        <v>3522.8</v>
      </c>
      <c r="N11" s="3">
        <v>0</v>
      </c>
      <c r="O11" s="22">
        <v>0</v>
      </c>
      <c r="P11" s="3">
        <v>2</v>
      </c>
      <c r="Q11" s="3">
        <v>0</v>
      </c>
      <c r="R11" s="44">
        <f>+Q11/P11</f>
        <v>0</v>
      </c>
      <c r="S11" s="13" t="s">
        <v>75</v>
      </c>
      <c r="T11" s="45"/>
      <c r="U11" s="3"/>
      <c r="V11" s="3"/>
      <c r="W11" s="3"/>
    </row>
    <row r="12" spans="2:23">
      <c r="B12" s="3" t="str">
        <f t="shared" si="0"/>
        <v>Sep</v>
      </c>
      <c r="C12" s="3">
        <f t="shared" si="1"/>
        <v>36</v>
      </c>
      <c r="D12" s="4">
        <v>46269</v>
      </c>
      <c r="E12" s="3">
        <v>2</v>
      </c>
      <c r="F12" s="3">
        <v>1</v>
      </c>
      <c r="G12" s="22">
        <v>4338.8</v>
      </c>
      <c r="H12" s="20">
        <f>+J12+L12+N12</f>
        <v>2</v>
      </c>
      <c r="I12" s="23">
        <f>+K12+M12+O12</f>
        <v>5896.77</v>
      </c>
      <c r="J12" s="3">
        <v>0</v>
      </c>
      <c r="K12" s="22">
        <v>0</v>
      </c>
      <c r="L12" s="7">
        <v>2</v>
      </c>
      <c r="M12" s="26">
        <v>5896.77</v>
      </c>
      <c r="N12" s="3">
        <v>0</v>
      </c>
      <c r="O12" s="22">
        <v>0</v>
      </c>
      <c r="P12" s="3">
        <v>3</v>
      </c>
      <c r="Q12" s="3">
        <v>3</v>
      </c>
      <c r="R12" s="21">
        <f>+Q12/P12</f>
        <v>1</v>
      </c>
      <c r="S12" t="s">
        <v>76</v>
      </c>
      <c r="T12" s="3" t="s">
        <v>77</v>
      </c>
      <c r="U12" s="3" t="s">
        <v>78</v>
      </c>
      <c r="V12" s="3"/>
      <c r="W12" s="3"/>
    </row>
    <row r="13" spans="2:23">
      <c r="B13" s="3" t="str">
        <f t="shared" si="0"/>
        <v>Sep</v>
      </c>
      <c r="C13" s="3">
        <f t="shared" si="1"/>
        <v>36</v>
      </c>
      <c r="D13" s="4">
        <v>46270</v>
      </c>
      <c r="E13" s="3">
        <v>2</v>
      </c>
      <c r="F13" s="3">
        <v>1</v>
      </c>
      <c r="G13" s="22">
        <v>4338.8</v>
      </c>
      <c r="H13" s="20">
        <f>+J13+L13+N13</f>
        <v>2</v>
      </c>
      <c r="I13" s="23">
        <f>+K13+M13+O13</f>
        <v>5896.77</v>
      </c>
      <c r="J13" s="7">
        <v>2</v>
      </c>
      <c r="K13" s="26">
        <v>5896.77</v>
      </c>
      <c r="L13" s="3">
        <v>0</v>
      </c>
      <c r="M13" s="22">
        <v>0</v>
      </c>
      <c r="N13" s="3">
        <v>0</v>
      </c>
      <c r="O13" s="22">
        <v>0</v>
      </c>
      <c r="P13" s="3">
        <v>0</v>
      </c>
      <c r="Q13" s="3">
        <v>0</v>
      </c>
      <c r="R13" s="21" t="e">
        <f>+Q13/P13</f>
        <v>#DIV/0!</v>
      </c>
      <c r="S13" s="3"/>
      <c r="T13" s="3"/>
      <c r="U13" s="3"/>
      <c r="V13" s="3"/>
      <c r="W13" s="3"/>
    </row>
    <row r="14" spans="2:23">
      <c r="B14" s="3" t="str">
        <f t="shared" si="0"/>
        <v>Sep</v>
      </c>
      <c r="C14" s="3">
        <f t="shared" si="1"/>
        <v>37</v>
      </c>
      <c r="D14" s="4">
        <v>46271</v>
      </c>
      <c r="E14" s="3">
        <v>2</v>
      </c>
      <c r="F14" s="3">
        <v>1</v>
      </c>
      <c r="G14" s="22">
        <v>4338.8</v>
      </c>
      <c r="H14" s="20">
        <f>+J14+L14+N14</f>
        <v>2</v>
      </c>
      <c r="I14" s="23">
        <f>+K14+M14+O14</f>
        <v>5896.77</v>
      </c>
      <c r="J14" s="7">
        <v>2</v>
      </c>
      <c r="K14" s="26">
        <v>5896.77</v>
      </c>
      <c r="L14" s="3">
        <v>0</v>
      </c>
      <c r="M14" s="22">
        <v>0</v>
      </c>
      <c r="N14" s="3">
        <v>0</v>
      </c>
      <c r="O14" s="22">
        <v>0</v>
      </c>
      <c r="P14" s="3">
        <v>0</v>
      </c>
      <c r="Q14" s="3">
        <v>0</v>
      </c>
      <c r="R14" s="21" t="e">
        <f>+Q14/P14</f>
        <v>#DIV/0!</v>
      </c>
      <c r="S14" s="3"/>
      <c r="T14" s="3"/>
      <c r="U14" s="3"/>
      <c r="V14" s="3"/>
      <c r="W14" s="3"/>
    </row>
    <row r="15" spans="2:23">
      <c r="B15" s="3" t="str">
        <f t="shared" si="0"/>
        <v>Sep</v>
      </c>
      <c r="C15" s="3">
        <f t="shared" si="1"/>
        <v>37</v>
      </c>
      <c r="D15" s="4">
        <v>46272</v>
      </c>
      <c r="E15" s="3">
        <v>2</v>
      </c>
      <c r="F15" s="3">
        <v>1</v>
      </c>
      <c r="G15" s="22">
        <v>4338.8</v>
      </c>
      <c r="H15" s="20">
        <f>+J15+L15+N15</f>
        <v>2</v>
      </c>
      <c r="I15" s="23">
        <f>+K15+M15+O15</f>
        <v>5896.77</v>
      </c>
      <c r="J15" s="7">
        <v>2</v>
      </c>
      <c r="K15" s="26">
        <v>5896.77</v>
      </c>
      <c r="L15" s="3">
        <v>0</v>
      </c>
      <c r="M15" s="22">
        <v>0</v>
      </c>
      <c r="N15" s="3">
        <v>0</v>
      </c>
      <c r="O15" s="22">
        <v>0</v>
      </c>
      <c r="P15" s="3">
        <v>1</v>
      </c>
      <c r="Q15" s="3">
        <v>0</v>
      </c>
      <c r="R15" s="21">
        <f>+Q15/P15</f>
        <v>0</v>
      </c>
      <c r="S15" s="3" t="s">
        <v>79</v>
      </c>
      <c r="T15" s="3" t="s">
        <v>80</v>
      </c>
      <c r="U15" s="3"/>
      <c r="V15" s="3"/>
      <c r="W15" s="3"/>
    </row>
    <row r="16" spans="2:23" ht="15.75">
      <c r="B16" s="3" t="str">
        <f t="shared" si="0"/>
        <v>Sep</v>
      </c>
      <c r="C16" s="3">
        <f t="shared" si="1"/>
        <v>37</v>
      </c>
      <c r="D16" s="4">
        <v>46273</v>
      </c>
      <c r="E16" s="3">
        <v>2</v>
      </c>
      <c r="F16" s="3">
        <v>4</v>
      </c>
      <c r="G16" s="22">
        <v>8663.31</v>
      </c>
      <c r="H16" s="20">
        <f>+J16+L16+N16</f>
        <v>3</v>
      </c>
      <c r="I16" s="23">
        <f>+K16+M16+O16</f>
        <v>10848.57</v>
      </c>
      <c r="J16" s="7">
        <v>3</v>
      </c>
      <c r="K16" s="26">
        <v>10848.57</v>
      </c>
      <c r="L16" s="3">
        <v>0</v>
      </c>
      <c r="M16" s="22">
        <v>0</v>
      </c>
      <c r="N16" s="3">
        <v>0</v>
      </c>
      <c r="O16" s="22">
        <v>0</v>
      </c>
      <c r="P16" s="3">
        <v>3</v>
      </c>
      <c r="Q16" s="3">
        <v>3</v>
      </c>
      <c r="R16" s="21">
        <f>+Q16/P16</f>
        <v>1</v>
      </c>
      <c r="S16" s="3" t="s">
        <v>81</v>
      </c>
      <c r="T16" s="3" t="s">
        <v>82</v>
      </c>
      <c r="U16" s="3" t="s">
        <v>83</v>
      </c>
      <c r="V16" s="3"/>
      <c r="W16" s="3"/>
    </row>
    <row r="17" spans="2:23">
      <c r="B17" s="3" t="str">
        <f t="shared" si="0"/>
        <v>Sep</v>
      </c>
      <c r="C17" s="3">
        <f t="shared" si="1"/>
        <v>37</v>
      </c>
      <c r="D17" s="4">
        <v>46274</v>
      </c>
      <c r="E17" s="3">
        <v>2</v>
      </c>
      <c r="F17" s="3">
        <v>4</v>
      </c>
      <c r="G17" s="22">
        <v>8663.31</v>
      </c>
      <c r="H17" s="20">
        <f>+J17+L17+N17</f>
        <v>3</v>
      </c>
      <c r="I17" s="23">
        <f>+K17+M17+O17</f>
        <v>10848.57</v>
      </c>
      <c r="J17" s="7">
        <v>3</v>
      </c>
      <c r="K17" s="26">
        <v>10848.57</v>
      </c>
      <c r="L17" s="3">
        <v>0</v>
      </c>
      <c r="M17" s="22">
        <v>0</v>
      </c>
      <c r="N17" s="3">
        <v>0</v>
      </c>
      <c r="O17" s="22">
        <v>0</v>
      </c>
      <c r="P17" s="3">
        <v>0</v>
      </c>
      <c r="Q17" s="3">
        <v>0</v>
      </c>
      <c r="R17" s="21" t="e">
        <f>+Q17/P17</f>
        <v>#DIV/0!</v>
      </c>
      <c r="S17" s="3" t="s">
        <v>81</v>
      </c>
      <c r="T17" s="3" t="s">
        <v>84</v>
      </c>
      <c r="U17" s="3"/>
      <c r="V17" s="3"/>
      <c r="W17" s="3"/>
    </row>
    <row r="18" spans="2:23" ht="15.75">
      <c r="B18" s="3" t="str">
        <f t="shared" si="0"/>
        <v>Sep</v>
      </c>
      <c r="C18" s="3">
        <f t="shared" si="1"/>
        <v>37</v>
      </c>
      <c r="D18" s="4">
        <v>46275</v>
      </c>
      <c r="E18" s="3">
        <v>2</v>
      </c>
      <c r="F18" s="3">
        <v>4</v>
      </c>
      <c r="G18" s="22">
        <v>8663.31</v>
      </c>
      <c r="H18" s="20">
        <f>+J18+L18+N18</f>
        <v>3</v>
      </c>
      <c r="I18" s="23">
        <f>+K18+M18+O18</f>
        <v>10848.57</v>
      </c>
      <c r="J18" s="7">
        <v>1</v>
      </c>
      <c r="K18" s="48">
        <v>1813.32</v>
      </c>
      <c r="L18" s="7">
        <v>2</v>
      </c>
      <c r="M18" s="48">
        <v>9035.25</v>
      </c>
      <c r="N18" s="3">
        <v>0</v>
      </c>
      <c r="O18" s="22">
        <v>0</v>
      </c>
      <c r="P18" s="3">
        <v>1</v>
      </c>
      <c r="Q18" s="3">
        <v>1</v>
      </c>
      <c r="R18" s="21">
        <f>+Q18/P18</f>
        <v>1</v>
      </c>
      <c r="S18" s="3" t="s">
        <v>81</v>
      </c>
      <c r="T18" s="3" t="s">
        <v>85</v>
      </c>
      <c r="U18" s="3"/>
      <c r="V18" s="3"/>
      <c r="W18" s="3"/>
    </row>
    <row r="19" spans="2:23" ht="15.75">
      <c r="B19" s="3" t="str">
        <f t="shared" si="0"/>
        <v>Sep</v>
      </c>
      <c r="C19" s="3">
        <f t="shared" si="1"/>
        <v>37</v>
      </c>
      <c r="D19" s="4">
        <v>46276</v>
      </c>
      <c r="E19" s="3">
        <v>2</v>
      </c>
      <c r="F19" s="3">
        <v>6</v>
      </c>
      <c r="G19" s="22">
        <v>17698.25</v>
      </c>
      <c r="H19" s="20">
        <f>+J19+L19+N19</f>
        <v>2</v>
      </c>
      <c r="I19" s="23">
        <f>+K19+M19+O19</f>
        <v>5893.0199999999995</v>
      </c>
      <c r="J19" s="7">
        <v>1</v>
      </c>
      <c r="K19" s="48">
        <v>1813.32</v>
      </c>
      <c r="L19" s="3">
        <v>1</v>
      </c>
      <c r="M19" s="22">
        <v>4079.7</v>
      </c>
      <c r="N19" s="3">
        <v>0</v>
      </c>
      <c r="O19" s="22">
        <v>0</v>
      </c>
      <c r="P19" s="3">
        <v>0</v>
      </c>
      <c r="Q19" s="3">
        <v>0</v>
      </c>
      <c r="R19" s="21" t="e">
        <f>+Q19/P19</f>
        <v>#DIV/0!</v>
      </c>
      <c r="S19" s="3" t="s">
        <v>86</v>
      </c>
      <c r="T19" s="3" t="s">
        <v>87</v>
      </c>
      <c r="U19" s="3" t="s">
        <v>88</v>
      </c>
      <c r="V19" s="3"/>
      <c r="W19" s="3"/>
    </row>
    <row r="20" spans="2:23" ht="15.75">
      <c r="B20" s="3" t="str">
        <f t="shared" si="0"/>
        <v>Sep</v>
      </c>
      <c r="C20" s="3">
        <f t="shared" si="1"/>
        <v>37</v>
      </c>
      <c r="D20" s="4">
        <v>46277</v>
      </c>
      <c r="E20" s="3">
        <v>2</v>
      </c>
      <c r="F20" s="3">
        <v>6</v>
      </c>
      <c r="G20" s="22">
        <v>17698.25</v>
      </c>
      <c r="H20" s="20">
        <f t="shared" ref="H20:H21" si="2">+J20+L20+N20</f>
        <v>2</v>
      </c>
      <c r="I20" s="23">
        <f t="shared" ref="I20:I21" si="3">+K20+M20+O20</f>
        <v>5893.0199999999995</v>
      </c>
      <c r="J20" s="7">
        <v>1</v>
      </c>
      <c r="K20" s="48">
        <v>1813.32</v>
      </c>
      <c r="L20" s="3">
        <v>1</v>
      </c>
      <c r="M20" s="22">
        <v>4079.7</v>
      </c>
      <c r="N20" s="3">
        <v>0</v>
      </c>
      <c r="O20" s="22">
        <v>0</v>
      </c>
      <c r="P20" s="3">
        <v>0</v>
      </c>
      <c r="Q20" s="3">
        <v>0</v>
      </c>
      <c r="R20" s="21" t="e">
        <f t="shared" ref="R20:R21" si="4">+Q20/P20</f>
        <v>#DIV/0!</v>
      </c>
      <c r="S20" s="3" t="s">
        <v>86</v>
      </c>
      <c r="T20" s="3" t="s">
        <v>87</v>
      </c>
      <c r="U20" s="3" t="s">
        <v>88</v>
      </c>
      <c r="V20" s="3"/>
      <c r="W20" s="3"/>
    </row>
    <row r="21" spans="2:23" ht="15.75">
      <c r="B21" s="3" t="str">
        <f t="shared" si="0"/>
        <v>Sep</v>
      </c>
      <c r="C21" s="3">
        <f t="shared" si="1"/>
        <v>38</v>
      </c>
      <c r="D21" s="4">
        <v>46278</v>
      </c>
      <c r="E21" s="3">
        <v>2</v>
      </c>
      <c r="F21" s="3">
        <v>7</v>
      </c>
      <c r="G21" s="22">
        <v>17747.009999999998</v>
      </c>
      <c r="H21" s="20">
        <f t="shared" si="2"/>
        <v>2</v>
      </c>
      <c r="I21" s="23">
        <f t="shared" si="3"/>
        <v>5893</v>
      </c>
      <c r="J21" s="7">
        <v>2</v>
      </c>
      <c r="K21" s="48">
        <v>5893</v>
      </c>
      <c r="L21" s="3">
        <v>0</v>
      </c>
      <c r="M21" s="22">
        <v>0</v>
      </c>
      <c r="N21" s="3">
        <v>0</v>
      </c>
      <c r="O21" s="22">
        <v>0</v>
      </c>
      <c r="P21" s="3">
        <v>0</v>
      </c>
      <c r="Q21" s="3">
        <v>0</v>
      </c>
      <c r="R21" s="21" t="e">
        <f t="shared" si="4"/>
        <v>#DIV/0!</v>
      </c>
      <c r="S21" s="3" t="s">
        <v>89</v>
      </c>
      <c r="T21" s="3" t="s">
        <v>90</v>
      </c>
      <c r="U21" s="3" t="s">
        <v>91</v>
      </c>
      <c r="V21" s="3"/>
      <c r="W21" s="3"/>
    </row>
    <row r="22" spans="2:23" ht="15.75">
      <c r="B22" s="3" t="str">
        <f t="shared" si="0"/>
        <v>Sep</v>
      </c>
      <c r="C22" s="3">
        <f t="shared" si="1"/>
        <v>38</v>
      </c>
      <c r="D22" s="4">
        <v>46279</v>
      </c>
      <c r="E22" s="3">
        <v>2</v>
      </c>
      <c r="F22" s="3">
        <v>7</v>
      </c>
      <c r="G22" s="22">
        <v>17747.009999999998</v>
      </c>
      <c r="H22" s="20">
        <f>+J22+L22+N22</f>
        <v>2</v>
      </c>
      <c r="I22" s="23">
        <f>+K22+M22+O22</f>
        <v>5893</v>
      </c>
      <c r="J22" s="7">
        <v>2</v>
      </c>
      <c r="K22" s="50">
        <v>5893</v>
      </c>
      <c r="L22" s="3">
        <v>0</v>
      </c>
      <c r="M22" s="22">
        <v>0</v>
      </c>
      <c r="N22" s="3">
        <v>0</v>
      </c>
      <c r="O22" s="22">
        <v>0</v>
      </c>
      <c r="P22" s="3">
        <v>1</v>
      </c>
      <c r="Q22" s="3">
        <v>1</v>
      </c>
      <c r="R22" s="21">
        <f>+Q22/P22</f>
        <v>1</v>
      </c>
      <c r="S22" s="3" t="s">
        <v>89</v>
      </c>
      <c r="T22" s="3" t="s">
        <v>90</v>
      </c>
      <c r="U22" s="3" t="s">
        <v>91</v>
      </c>
      <c r="V22" s="3"/>
      <c r="W22" s="3"/>
    </row>
    <row r="23" spans="2:23" ht="15.75">
      <c r="B23" s="3" t="str">
        <f t="shared" si="0"/>
        <v>Sep</v>
      </c>
      <c r="C23" s="3">
        <f t="shared" si="1"/>
        <v>38</v>
      </c>
      <c r="D23" s="4">
        <v>46280</v>
      </c>
      <c r="E23" s="3">
        <v>2</v>
      </c>
      <c r="F23" s="3">
        <v>7</v>
      </c>
      <c r="G23" s="22">
        <v>17747.009999999998</v>
      </c>
      <c r="H23" s="20">
        <f>+J23+L23+N23</f>
        <v>3</v>
      </c>
      <c r="I23" s="23">
        <f>+K23+M23+O23</f>
        <v>8337.7000000000007</v>
      </c>
      <c r="J23" s="7">
        <v>3</v>
      </c>
      <c r="K23" s="50">
        <v>8337.7000000000007</v>
      </c>
      <c r="L23" s="7">
        <v>0</v>
      </c>
      <c r="M23" s="22">
        <v>0</v>
      </c>
      <c r="N23" s="3">
        <v>0</v>
      </c>
      <c r="O23" s="22">
        <v>0</v>
      </c>
      <c r="P23" s="3">
        <v>2</v>
      </c>
      <c r="Q23" s="3">
        <v>1</v>
      </c>
      <c r="R23" s="21">
        <f>+Q23/P23</f>
        <v>0.5</v>
      </c>
      <c r="S23" s="3" t="s">
        <v>92</v>
      </c>
      <c r="T23" s="3" t="s">
        <v>93</v>
      </c>
      <c r="U23" s="3"/>
      <c r="V23" s="3"/>
      <c r="W23" s="3"/>
    </row>
    <row r="24" spans="2:23" ht="15.75">
      <c r="B24" s="3" t="str">
        <f t="shared" si="0"/>
        <v>Sep</v>
      </c>
      <c r="C24" s="3">
        <f t="shared" si="1"/>
        <v>38</v>
      </c>
      <c r="D24" s="4">
        <v>46281</v>
      </c>
      <c r="E24" s="3">
        <v>2</v>
      </c>
      <c r="F24" s="3">
        <v>7</v>
      </c>
      <c r="G24" s="22">
        <v>17747.009999999998</v>
      </c>
      <c r="H24" s="20">
        <f>+J24+L24+N24</f>
        <v>4</v>
      </c>
      <c r="I24" s="23">
        <f>+K24+M24+O24</f>
        <v>15976.45</v>
      </c>
      <c r="J24" s="7">
        <v>3</v>
      </c>
      <c r="K24" s="50">
        <v>8337.7000000000007</v>
      </c>
      <c r="L24" s="7">
        <v>0</v>
      </c>
      <c r="M24" s="22">
        <v>0</v>
      </c>
      <c r="N24" s="3">
        <v>1</v>
      </c>
      <c r="O24" s="51">
        <v>7638.75</v>
      </c>
      <c r="P24" s="3">
        <v>1</v>
      </c>
      <c r="Q24" s="3">
        <v>1</v>
      </c>
      <c r="R24" s="21">
        <f>+Q24/P24</f>
        <v>1</v>
      </c>
      <c r="S24" s="3" t="s">
        <v>94</v>
      </c>
      <c r="T24" s="3" t="s">
        <v>95</v>
      </c>
      <c r="U24" s="3"/>
      <c r="V24" s="3"/>
      <c r="W24" s="3"/>
    </row>
    <row r="25" spans="2:23" ht="15.75">
      <c r="B25" s="3" t="str">
        <f t="shared" si="0"/>
        <v>Sep</v>
      </c>
      <c r="C25" s="3">
        <f t="shared" si="1"/>
        <v>38</v>
      </c>
      <c r="D25" s="4">
        <v>46282</v>
      </c>
      <c r="E25" s="3">
        <v>2</v>
      </c>
      <c r="F25" s="3">
        <v>7</v>
      </c>
      <c r="G25" s="22">
        <v>17747.009999999998</v>
      </c>
      <c r="H25" s="20">
        <f>+J25+L25+N25</f>
        <v>4</v>
      </c>
      <c r="I25" s="23">
        <f>+K25+M25+O25</f>
        <v>15976.45</v>
      </c>
      <c r="J25" s="7">
        <v>3</v>
      </c>
      <c r="K25" s="50">
        <v>8337.7000000000007</v>
      </c>
      <c r="L25" s="7">
        <v>0</v>
      </c>
      <c r="M25" s="22">
        <v>0</v>
      </c>
      <c r="N25" s="3">
        <v>1</v>
      </c>
      <c r="O25" s="51">
        <v>7638.75</v>
      </c>
      <c r="P25" s="3">
        <v>1</v>
      </c>
      <c r="Q25" s="3">
        <v>1</v>
      </c>
      <c r="R25" s="21">
        <f>+Q25/P25</f>
        <v>1</v>
      </c>
      <c r="S25" s="3" t="s">
        <v>94</v>
      </c>
      <c r="T25" s="3" t="s">
        <v>95</v>
      </c>
      <c r="U25" s="3"/>
      <c r="V25" s="3"/>
      <c r="W25" s="3"/>
    </row>
    <row r="26" spans="2:23" ht="15.75">
      <c r="B26" s="3" t="str">
        <f t="shared" si="0"/>
        <v>Sep</v>
      </c>
      <c r="C26" s="3">
        <f t="shared" si="1"/>
        <v>38</v>
      </c>
      <c r="D26" s="4">
        <v>46283</v>
      </c>
      <c r="E26" s="3">
        <v>2</v>
      </c>
      <c r="F26" s="3">
        <v>8</v>
      </c>
      <c r="G26" s="22">
        <v>20191.7</v>
      </c>
      <c r="H26" s="20">
        <f>+J26+L26+N26</f>
        <v>4</v>
      </c>
      <c r="I26" s="23">
        <f>+K26+M26+O26</f>
        <v>20134.400000000001</v>
      </c>
      <c r="J26" s="7">
        <v>2</v>
      </c>
      <c r="K26" s="50">
        <v>5893</v>
      </c>
      <c r="L26" s="7">
        <v>0</v>
      </c>
      <c r="M26" s="22">
        <v>0</v>
      </c>
      <c r="N26" s="3">
        <v>2</v>
      </c>
      <c r="O26" s="50">
        <v>14241.4</v>
      </c>
      <c r="P26" s="3">
        <v>1</v>
      </c>
      <c r="Q26" s="3">
        <v>1</v>
      </c>
      <c r="R26" s="21">
        <f>+Q26/P26</f>
        <v>1</v>
      </c>
      <c r="S26" s="3" t="s">
        <v>96</v>
      </c>
      <c r="T26" s="3" t="s">
        <v>94</v>
      </c>
      <c r="U26" s="3" t="s">
        <v>97</v>
      </c>
      <c r="V26" s="3"/>
      <c r="W26" s="3"/>
    </row>
    <row r="27" spans="2:23" ht="15.75">
      <c r="B27" s="3" t="str">
        <f t="shared" si="0"/>
        <v>Sep</v>
      </c>
      <c r="C27" s="3">
        <f t="shared" si="1"/>
        <v>38</v>
      </c>
      <c r="D27" s="4">
        <v>46284</v>
      </c>
      <c r="E27" s="3">
        <v>2</v>
      </c>
      <c r="F27" s="3">
        <v>8</v>
      </c>
      <c r="G27" s="22">
        <v>20191.7</v>
      </c>
      <c r="H27" s="20">
        <f>+J27+L27+N27</f>
        <v>4</v>
      </c>
      <c r="I27" s="23">
        <f>+K27+M27+O27</f>
        <v>20134.400000000001</v>
      </c>
      <c r="J27" s="7">
        <v>2</v>
      </c>
      <c r="K27" s="50">
        <v>5893</v>
      </c>
      <c r="L27" s="7">
        <v>0</v>
      </c>
      <c r="M27" s="22">
        <v>0</v>
      </c>
      <c r="N27" s="3">
        <v>2</v>
      </c>
      <c r="O27" s="50">
        <v>14241.4</v>
      </c>
      <c r="P27" s="3">
        <v>1</v>
      </c>
      <c r="Q27" s="3">
        <v>1</v>
      </c>
      <c r="R27" s="21">
        <f t="shared" ref="R27:R28" si="5">+Q27/P27</f>
        <v>1</v>
      </c>
      <c r="S27" s="3" t="s">
        <v>96</v>
      </c>
      <c r="T27" s="3" t="s">
        <v>94</v>
      </c>
      <c r="U27" s="3" t="s">
        <v>97</v>
      </c>
      <c r="V27" s="3"/>
      <c r="W27" s="3"/>
    </row>
    <row r="28" spans="2:23" ht="15.75">
      <c r="B28" s="3" t="str">
        <f t="shared" si="0"/>
        <v>Sep</v>
      </c>
      <c r="C28" s="3">
        <f t="shared" si="1"/>
        <v>39</v>
      </c>
      <c r="D28" s="4">
        <v>46285</v>
      </c>
      <c r="E28" s="3">
        <v>2</v>
      </c>
      <c r="F28" s="3">
        <v>8</v>
      </c>
      <c r="G28" s="22">
        <v>20191.7</v>
      </c>
      <c r="H28" s="20">
        <f>+J28+L28+N28</f>
        <v>4</v>
      </c>
      <c r="I28" s="23">
        <f>+K28+M28+O28</f>
        <v>20134.400000000001</v>
      </c>
      <c r="J28" s="7">
        <v>2</v>
      </c>
      <c r="K28" s="50">
        <v>5893</v>
      </c>
      <c r="L28" s="7">
        <v>0</v>
      </c>
      <c r="M28" s="22">
        <v>0</v>
      </c>
      <c r="N28" s="3">
        <v>2</v>
      </c>
      <c r="O28" s="50">
        <v>14241.4</v>
      </c>
      <c r="P28" s="3">
        <v>1</v>
      </c>
      <c r="Q28" s="3">
        <v>1</v>
      </c>
      <c r="R28" s="21">
        <f t="shared" si="5"/>
        <v>1</v>
      </c>
      <c r="S28" s="3" t="s">
        <v>96</v>
      </c>
      <c r="T28" s="3" t="s">
        <v>94</v>
      </c>
      <c r="U28" s="3" t="s">
        <v>97</v>
      </c>
      <c r="V28" s="3"/>
      <c r="W28" s="3"/>
    </row>
    <row r="29" spans="2:23" ht="15.75">
      <c r="B29" s="3" t="str">
        <f t="shared" si="0"/>
        <v>Sep</v>
      </c>
      <c r="C29" s="3">
        <f t="shared" si="1"/>
        <v>39</v>
      </c>
      <c r="D29" s="4">
        <v>46286</v>
      </c>
      <c r="E29" s="3">
        <v>2</v>
      </c>
      <c r="F29" s="3">
        <v>8</v>
      </c>
      <c r="G29" s="22">
        <v>20191.7</v>
      </c>
      <c r="H29" s="20">
        <f>+J29+L29+N29</f>
        <v>4</v>
      </c>
      <c r="I29" s="23">
        <f>+K29+M29+O29</f>
        <v>20134.400000000001</v>
      </c>
      <c r="J29" s="7">
        <v>4</v>
      </c>
      <c r="K29" s="50">
        <v>20134.400000000001</v>
      </c>
      <c r="L29" s="7">
        <v>0</v>
      </c>
      <c r="M29" s="22">
        <v>0</v>
      </c>
      <c r="N29" s="3">
        <v>0</v>
      </c>
      <c r="O29" s="22">
        <v>0</v>
      </c>
      <c r="P29" s="3">
        <v>2</v>
      </c>
      <c r="Q29" s="3">
        <v>2</v>
      </c>
      <c r="R29" s="21">
        <f>+Q29/P29</f>
        <v>1</v>
      </c>
      <c r="S29" s="3" t="s">
        <v>98</v>
      </c>
      <c r="T29" s="3" t="s">
        <v>99</v>
      </c>
      <c r="U29" s="3"/>
      <c r="V29" s="3"/>
      <c r="W29" s="3"/>
    </row>
    <row r="30" spans="2:23" ht="15.75">
      <c r="B30" s="3" t="str">
        <f t="shared" si="0"/>
        <v>Sep</v>
      </c>
      <c r="C30" s="3">
        <f t="shared" si="1"/>
        <v>39</v>
      </c>
      <c r="D30" s="4">
        <v>46287</v>
      </c>
      <c r="E30" s="3">
        <v>2</v>
      </c>
      <c r="F30" s="3">
        <v>8</v>
      </c>
      <c r="G30" s="22">
        <v>20191.7</v>
      </c>
      <c r="H30" s="20">
        <f>+J30+L30+N30</f>
        <v>5</v>
      </c>
      <c r="I30" s="23">
        <f>+K30+M30+O30</f>
        <v>27800.6</v>
      </c>
      <c r="J30" s="7">
        <v>5</v>
      </c>
      <c r="K30" s="50">
        <v>27800.6</v>
      </c>
      <c r="L30" s="7">
        <v>0</v>
      </c>
      <c r="M30" s="22">
        <v>0</v>
      </c>
      <c r="N30" s="3">
        <v>0</v>
      </c>
      <c r="O30" s="22">
        <v>0</v>
      </c>
      <c r="P30" s="3">
        <v>1</v>
      </c>
      <c r="Q30" s="3">
        <v>1</v>
      </c>
      <c r="R30" s="21">
        <f>+Q30/P30</f>
        <v>1</v>
      </c>
      <c r="S30" s="3" t="s">
        <v>100</v>
      </c>
      <c r="T30" s="3" t="s">
        <v>101</v>
      </c>
      <c r="U30" s="3"/>
      <c r="V30" s="3"/>
      <c r="W30" s="3"/>
    </row>
    <row r="31" spans="2:23" ht="15.75">
      <c r="B31" s="3" t="str">
        <f t="shared" si="0"/>
        <v>Sep</v>
      </c>
      <c r="C31" s="3">
        <f t="shared" si="1"/>
        <v>39</v>
      </c>
      <c r="D31" s="4">
        <v>46288</v>
      </c>
      <c r="E31" s="3">
        <v>2</v>
      </c>
      <c r="F31" s="3">
        <v>10</v>
      </c>
      <c r="G31" s="22">
        <v>34433.15</v>
      </c>
      <c r="H31" s="20">
        <f>+J31+L31+N31</f>
        <v>4</v>
      </c>
      <c r="I31" s="23">
        <f>+K31+M31+O31</f>
        <v>20334.2</v>
      </c>
      <c r="J31" s="7">
        <v>3</v>
      </c>
      <c r="K31" s="50">
        <v>13559.45</v>
      </c>
      <c r="L31" s="7">
        <v>1</v>
      </c>
      <c r="M31" s="22">
        <v>6774.75</v>
      </c>
      <c r="N31" s="3">
        <v>0</v>
      </c>
      <c r="O31" s="22">
        <v>0</v>
      </c>
      <c r="P31" s="3">
        <v>0</v>
      </c>
      <c r="Q31" s="3">
        <v>0</v>
      </c>
      <c r="R31" s="21" t="e">
        <f>+Q31/P31</f>
        <v>#DIV/0!</v>
      </c>
      <c r="S31" s="3" t="s">
        <v>102</v>
      </c>
      <c r="T31" s="3" t="s">
        <v>103</v>
      </c>
      <c r="U31" s="3" t="s">
        <v>104</v>
      </c>
      <c r="V31" s="3"/>
      <c r="W31" s="3"/>
    </row>
    <row r="32" spans="2:23" ht="15.75">
      <c r="B32" s="3" t="str">
        <f t="shared" si="0"/>
        <v>Sep</v>
      </c>
      <c r="C32" s="3">
        <f t="shared" si="1"/>
        <v>39</v>
      </c>
      <c r="D32" s="4">
        <v>46289</v>
      </c>
      <c r="E32" s="3">
        <v>2</v>
      </c>
      <c r="F32" s="3">
        <v>11</v>
      </c>
      <c r="G32" s="22">
        <v>38512.699999999997</v>
      </c>
      <c r="H32" s="20">
        <f>+J32+L32+N32</f>
        <v>3</v>
      </c>
      <c r="I32" s="23">
        <f>+K32+M32+O32</f>
        <v>19299.150000000001</v>
      </c>
      <c r="J32" s="7">
        <v>3</v>
      </c>
      <c r="K32" s="50">
        <v>19299.150000000001</v>
      </c>
      <c r="L32" s="7">
        <v>0</v>
      </c>
      <c r="M32" s="22">
        <v>0</v>
      </c>
      <c r="N32" s="3">
        <v>0</v>
      </c>
      <c r="O32" s="22">
        <v>0</v>
      </c>
      <c r="P32" s="3">
        <v>0</v>
      </c>
      <c r="Q32" s="3">
        <v>0</v>
      </c>
      <c r="R32" s="21" t="e">
        <f>+Q32/P32</f>
        <v>#DIV/0!</v>
      </c>
      <c r="S32" s="3" t="s">
        <v>105</v>
      </c>
      <c r="T32" s="3" t="s">
        <v>106</v>
      </c>
      <c r="U32" s="3" t="s">
        <v>107</v>
      </c>
      <c r="V32" s="3"/>
      <c r="W32" s="3"/>
    </row>
    <row r="33" spans="2:23" ht="15.75">
      <c r="B33" s="3" t="str">
        <f t="shared" si="0"/>
        <v>Sep</v>
      </c>
      <c r="C33" s="3">
        <f t="shared" si="1"/>
        <v>39</v>
      </c>
      <c r="D33" s="4">
        <v>46290</v>
      </c>
      <c r="E33" s="3">
        <v>2</v>
      </c>
      <c r="F33" s="3">
        <v>13</v>
      </c>
      <c r="G33" s="22">
        <v>51037.4</v>
      </c>
      <c r="H33" s="20">
        <f>+J33+L33+N33</f>
        <v>1</v>
      </c>
      <c r="I33" s="23">
        <f>+K33+M33+O33</f>
        <v>6774.75</v>
      </c>
      <c r="J33" s="7">
        <v>1</v>
      </c>
      <c r="K33" s="50">
        <v>6774.75</v>
      </c>
      <c r="L33" s="7">
        <v>0</v>
      </c>
      <c r="M33" s="22">
        <v>0</v>
      </c>
      <c r="N33" s="3">
        <v>0</v>
      </c>
      <c r="O33" s="22">
        <v>0</v>
      </c>
      <c r="P33" s="3">
        <v>0</v>
      </c>
      <c r="Q33" s="3">
        <v>0</v>
      </c>
      <c r="R33" s="21" t="e">
        <f>+Q33/P33</f>
        <v>#DIV/0!</v>
      </c>
      <c r="S33" s="3"/>
      <c r="T33" s="3"/>
      <c r="U33" s="3"/>
      <c r="V33" s="3"/>
      <c r="W33" s="3"/>
    </row>
    <row r="34" spans="2:23" ht="15.75">
      <c r="B34" s="3" t="str">
        <f t="shared" si="0"/>
        <v>Sep</v>
      </c>
      <c r="C34" s="3">
        <f t="shared" si="1"/>
        <v>39</v>
      </c>
      <c r="D34" s="4">
        <v>46291</v>
      </c>
      <c r="E34" s="3"/>
      <c r="F34" s="3"/>
      <c r="G34" s="3"/>
      <c r="H34" s="20">
        <f>+J34+L34+N34</f>
        <v>0</v>
      </c>
      <c r="I34" s="23">
        <f>+K34+M34+O34</f>
        <v>0</v>
      </c>
      <c r="J34" s="6"/>
      <c r="K34" s="50"/>
      <c r="L34" s="7"/>
      <c r="M34" s="6"/>
      <c r="N34" s="3"/>
      <c r="O34" s="7"/>
      <c r="P34" s="3"/>
      <c r="Q34" s="3"/>
      <c r="R34" s="21" t="e">
        <f>+Q34/P34</f>
        <v>#DIV/0!</v>
      </c>
      <c r="S34" s="3"/>
      <c r="T34" s="3"/>
      <c r="U34" s="3"/>
      <c r="V34" s="3"/>
      <c r="W34" s="3"/>
    </row>
    <row r="35" spans="2:23" ht="15.75">
      <c r="B35" s="3" t="str">
        <f t="shared" si="0"/>
        <v>Sep</v>
      </c>
      <c r="C35" s="3">
        <f t="shared" si="1"/>
        <v>40</v>
      </c>
      <c r="D35" s="4">
        <v>46292</v>
      </c>
      <c r="E35" s="3"/>
      <c r="F35" s="3"/>
      <c r="G35" s="3"/>
      <c r="H35" s="20">
        <f>+J35+L35+N35</f>
        <v>0</v>
      </c>
      <c r="I35" s="23">
        <f>+K35+M35+O35</f>
        <v>0</v>
      </c>
      <c r="J35" s="6"/>
      <c r="K35" s="50"/>
      <c r="L35" s="7"/>
      <c r="M35" s="6"/>
      <c r="N35" s="3"/>
      <c r="O35" s="7"/>
      <c r="P35" s="3"/>
      <c r="Q35" s="3"/>
      <c r="R35" s="21" t="e">
        <f>+Q35/P35</f>
        <v>#DIV/0!</v>
      </c>
      <c r="S35" s="3"/>
      <c r="T35" s="3"/>
      <c r="U35" s="3"/>
      <c r="V35" s="3"/>
      <c r="W35" s="3"/>
    </row>
    <row r="36" spans="2:23" ht="15.75">
      <c r="B36" s="3" t="str">
        <f t="shared" si="0"/>
        <v>Sep</v>
      </c>
      <c r="C36" s="3">
        <f t="shared" si="1"/>
        <v>40</v>
      </c>
      <c r="D36" s="4">
        <v>46293</v>
      </c>
      <c r="E36" s="3"/>
      <c r="F36" s="3"/>
      <c r="G36" s="3"/>
      <c r="H36" s="20">
        <f>+J36+L36+N36</f>
        <v>0</v>
      </c>
      <c r="I36" s="23">
        <f>+K36+M36+O36</f>
        <v>0</v>
      </c>
      <c r="J36" s="6"/>
      <c r="K36" s="50"/>
      <c r="L36" s="7"/>
      <c r="M36" s="6"/>
      <c r="N36" s="3"/>
      <c r="O36" s="7"/>
      <c r="P36" s="3"/>
      <c r="Q36" s="3"/>
      <c r="R36" s="21" t="e">
        <f>+Q36/P36</f>
        <v>#DIV/0!</v>
      </c>
      <c r="S36" s="3"/>
      <c r="T36" s="3"/>
      <c r="U36" s="3"/>
      <c r="V36" s="3"/>
      <c r="W36" s="3"/>
    </row>
    <row r="37" spans="2:23" ht="15.75">
      <c r="B37" s="3" t="str">
        <f t="shared" si="0"/>
        <v>Sep</v>
      </c>
      <c r="C37" s="3">
        <f t="shared" si="1"/>
        <v>40</v>
      </c>
      <c r="D37" s="4">
        <v>46294</v>
      </c>
      <c r="E37" s="3"/>
      <c r="F37" s="3"/>
      <c r="G37" s="3"/>
      <c r="H37" s="20">
        <f>+J37+L37+N37</f>
        <v>0</v>
      </c>
      <c r="I37" s="23">
        <f>+K37+M37+O37</f>
        <v>0</v>
      </c>
      <c r="J37" s="6"/>
      <c r="K37" s="50"/>
      <c r="L37" s="7"/>
      <c r="M37" s="6"/>
      <c r="N37" s="3"/>
      <c r="O37" s="7"/>
      <c r="P37" s="3"/>
      <c r="Q37" s="3"/>
      <c r="R37" s="21" t="e">
        <f>+Q37/P37</f>
        <v>#DIV/0!</v>
      </c>
      <c r="S37" s="3"/>
      <c r="T37" s="3"/>
      <c r="U37" s="3"/>
      <c r="V37" s="3"/>
      <c r="W37" s="3"/>
    </row>
    <row r="38" spans="2:23" ht="15.75">
      <c r="B38" s="3" t="str">
        <f t="shared" si="0"/>
        <v>Sep</v>
      </c>
      <c r="C38" s="3">
        <f t="shared" si="1"/>
        <v>40</v>
      </c>
      <c r="D38" s="4">
        <v>46295</v>
      </c>
      <c r="E38" s="3"/>
      <c r="F38" s="3"/>
      <c r="G38" s="3"/>
      <c r="H38" s="20">
        <f>+J38+L38+N38</f>
        <v>0</v>
      </c>
      <c r="I38" s="23">
        <f>+K38+M38+O38</f>
        <v>0</v>
      </c>
      <c r="J38" s="6"/>
      <c r="K38" s="50"/>
      <c r="L38" s="7"/>
      <c r="M38" s="6"/>
      <c r="N38" s="3"/>
      <c r="O38" s="7"/>
      <c r="P38" s="3"/>
      <c r="Q38" s="3"/>
      <c r="R38" s="21" t="e">
        <f>+Q38/P38</f>
        <v>#DIV/0!</v>
      </c>
      <c r="S38" s="3"/>
      <c r="T38" s="3"/>
      <c r="U38" s="3"/>
      <c r="V38" s="3"/>
      <c r="W38" s="3"/>
    </row>
    <row r="39" spans="2:23" ht="15.75">
      <c r="B39" s="3" t="str">
        <f t="shared" si="0"/>
        <v>Oct</v>
      </c>
      <c r="C39" s="3">
        <f t="shared" si="1"/>
        <v>40</v>
      </c>
      <c r="D39" s="4">
        <v>46296</v>
      </c>
      <c r="E39" s="3"/>
      <c r="F39" s="3"/>
      <c r="G39" s="3"/>
      <c r="H39" s="20">
        <f>+J39+L39+N39</f>
        <v>0</v>
      </c>
      <c r="I39" s="23">
        <f>+K39+M39+O39</f>
        <v>0</v>
      </c>
      <c r="J39" s="6"/>
      <c r="K39" s="50"/>
      <c r="L39" s="7"/>
      <c r="M39" s="6"/>
      <c r="N39" s="3"/>
      <c r="O39" s="7"/>
      <c r="P39" s="3"/>
      <c r="Q39" s="3"/>
      <c r="R39" s="21" t="e">
        <f>+Q39/P39</f>
        <v>#DIV/0!</v>
      </c>
      <c r="S39" s="3"/>
      <c r="T39" s="3"/>
      <c r="U39" s="3"/>
      <c r="V39" s="3"/>
      <c r="W39" s="3"/>
    </row>
    <row r="40" spans="2:23" ht="15.75">
      <c r="B40" s="3" t="str">
        <f t="shared" si="0"/>
        <v>Oct</v>
      </c>
      <c r="C40" s="3">
        <f t="shared" si="1"/>
        <v>40</v>
      </c>
      <c r="D40" s="4">
        <v>46297</v>
      </c>
      <c r="E40" s="3"/>
      <c r="F40" s="3"/>
      <c r="G40" s="3"/>
      <c r="H40" s="20">
        <f>+J40+L40+N40</f>
        <v>0</v>
      </c>
      <c r="I40" s="23">
        <f>+K40+M40+O40</f>
        <v>0</v>
      </c>
      <c r="J40" s="6"/>
      <c r="K40" s="50"/>
      <c r="L40" s="7"/>
      <c r="M40" s="6"/>
      <c r="N40" s="3"/>
      <c r="O40" s="7"/>
      <c r="P40" s="3"/>
      <c r="Q40" s="3"/>
      <c r="R40" s="21" t="e">
        <f>+Q40/P40</f>
        <v>#DIV/0!</v>
      </c>
      <c r="S40" s="3"/>
      <c r="T40" s="3"/>
      <c r="U40" s="3"/>
      <c r="V40" s="3"/>
      <c r="W40" s="3"/>
    </row>
    <row r="41" spans="2:23" ht="15.75">
      <c r="B41" s="3" t="str">
        <f t="shared" si="0"/>
        <v>Oct</v>
      </c>
      <c r="C41" s="3">
        <f t="shared" si="1"/>
        <v>40</v>
      </c>
      <c r="D41" s="4">
        <v>46298</v>
      </c>
      <c r="E41" s="3"/>
      <c r="F41" s="3"/>
      <c r="G41" s="3"/>
      <c r="H41" s="20">
        <f>+J41+L41+N41</f>
        <v>0</v>
      </c>
      <c r="I41" s="23">
        <f>+K41+M41+O41</f>
        <v>0</v>
      </c>
      <c r="J41" s="6"/>
      <c r="K41" s="50"/>
      <c r="L41" s="7"/>
      <c r="M41" s="6"/>
      <c r="N41" s="3"/>
      <c r="O41" s="7"/>
      <c r="P41" s="3"/>
      <c r="Q41" s="3"/>
      <c r="R41" s="21" t="e">
        <f>+Q41/P41</f>
        <v>#DIV/0!</v>
      </c>
      <c r="S41" s="3"/>
      <c r="T41" s="3"/>
      <c r="U41" s="3"/>
      <c r="V41" s="3"/>
      <c r="W41" s="3"/>
    </row>
    <row r="42" spans="2:23" ht="15.75">
      <c r="B42" s="3" t="str">
        <f t="shared" si="0"/>
        <v>Oct</v>
      </c>
      <c r="C42" s="3">
        <f t="shared" si="1"/>
        <v>41</v>
      </c>
      <c r="D42" s="4">
        <v>46299</v>
      </c>
      <c r="E42" s="3"/>
      <c r="F42" s="3"/>
      <c r="G42" s="3"/>
      <c r="H42" s="20">
        <f>+J42+L42+N42</f>
        <v>0</v>
      </c>
      <c r="I42" s="23">
        <f>+K42+M42+O42</f>
        <v>0</v>
      </c>
      <c r="J42" s="6"/>
      <c r="K42" s="50"/>
      <c r="L42" s="7"/>
      <c r="M42" s="6"/>
      <c r="N42" s="3"/>
      <c r="O42" s="7"/>
      <c r="P42" s="3"/>
      <c r="Q42" s="3"/>
      <c r="R42" s="21" t="e">
        <f>+Q42/P42</f>
        <v>#DIV/0!</v>
      </c>
      <c r="S42" s="3"/>
      <c r="T42" s="3"/>
      <c r="U42" s="3"/>
      <c r="V42" s="3"/>
      <c r="W42" s="3"/>
    </row>
    <row r="43" spans="2:23" ht="15.75">
      <c r="B43" s="3" t="str">
        <f t="shared" si="0"/>
        <v>Oct</v>
      </c>
      <c r="C43" s="3">
        <f t="shared" si="1"/>
        <v>41</v>
      </c>
      <c r="D43" s="4">
        <v>46300</v>
      </c>
      <c r="E43" s="3"/>
      <c r="F43" s="3"/>
      <c r="G43" s="3"/>
      <c r="H43" s="20">
        <f>+J43+L43+N43</f>
        <v>0</v>
      </c>
      <c r="I43" s="23">
        <f>+K43+M43+O43</f>
        <v>0</v>
      </c>
      <c r="J43" s="6"/>
      <c r="K43" s="50"/>
      <c r="L43" s="7"/>
      <c r="M43" s="6"/>
      <c r="N43" s="3"/>
      <c r="O43" s="7"/>
      <c r="P43" s="3"/>
      <c r="Q43" s="3"/>
      <c r="R43" s="21" t="e">
        <f>+Q43/P43</f>
        <v>#DIV/0!</v>
      </c>
      <c r="S43" s="3"/>
      <c r="T43" s="3"/>
      <c r="U43" s="3"/>
      <c r="V43" s="3"/>
      <c r="W43" s="3"/>
    </row>
    <row r="44" spans="2:23" ht="15.75">
      <c r="B44" s="3" t="str">
        <f t="shared" si="0"/>
        <v>Oct</v>
      </c>
      <c r="C44" s="3">
        <f t="shared" si="1"/>
        <v>41</v>
      </c>
      <c r="D44" s="4">
        <v>46301</v>
      </c>
      <c r="E44" s="3"/>
      <c r="F44" s="3"/>
      <c r="G44" s="3"/>
      <c r="H44" s="20">
        <f>+J44+L44+N44</f>
        <v>0</v>
      </c>
      <c r="I44" s="23">
        <f>+K44+M44+O44</f>
        <v>0</v>
      </c>
      <c r="J44" s="6"/>
      <c r="K44" s="50"/>
      <c r="L44" s="7"/>
      <c r="M44" s="6"/>
      <c r="N44" s="3"/>
      <c r="O44" s="7"/>
      <c r="P44" s="3"/>
      <c r="Q44" s="3"/>
      <c r="R44" s="21" t="e">
        <f>+Q44/P44</f>
        <v>#DIV/0!</v>
      </c>
      <c r="S44" s="3"/>
      <c r="T44" s="3"/>
      <c r="U44" s="3"/>
      <c r="V44" s="3"/>
      <c r="W44" s="3"/>
    </row>
    <row r="45" spans="2:23" ht="15.75">
      <c r="B45" s="3" t="str">
        <f t="shared" si="0"/>
        <v>Oct</v>
      </c>
      <c r="C45" s="3">
        <f t="shared" si="1"/>
        <v>41</v>
      </c>
      <c r="D45" s="4">
        <v>46302</v>
      </c>
      <c r="E45" s="3"/>
      <c r="F45" s="3"/>
      <c r="G45" s="3"/>
      <c r="H45" s="20">
        <f>+J45+L45+N45</f>
        <v>0</v>
      </c>
      <c r="I45" s="23">
        <f>+K45+M45+O45</f>
        <v>0</v>
      </c>
      <c r="J45" s="6"/>
      <c r="K45" s="50"/>
      <c r="L45" s="7"/>
      <c r="M45" s="6"/>
      <c r="N45" s="3"/>
      <c r="O45" s="7"/>
      <c r="P45" s="3"/>
      <c r="Q45" s="3"/>
      <c r="R45" s="21" t="e">
        <f>+Q45/P45</f>
        <v>#DIV/0!</v>
      </c>
      <c r="S45" s="3"/>
      <c r="T45" s="3"/>
      <c r="U45" s="3"/>
      <c r="V45" s="3"/>
      <c r="W45" s="3"/>
    </row>
    <row r="46" spans="2:23" ht="15.75">
      <c r="B46" s="3" t="str">
        <f t="shared" si="0"/>
        <v>Oct</v>
      </c>
      <c r="C46" s="3">
        <f t="shared" si="1"/>
        <v>41</v>
      </c>
      <c r="D46" s="4">
        <v>46303</v>
      </c>
      <c r="E46" s="3"/>
      <c r="F46" s="3"/>
      <c r="G46" s="3"/>
      <c r="H46" s="20">
        <f>+J46+L46+N46</f>
        <v>0</v>
      </c>
      <c r="I46" s="23">
        <f>+K46+M46+O46</f>
        <v>0</v>
      </c>
      <c r="J46" s="6"/>
      <c r="K46" s="50"/>
      <c r="L46" s="7"/>
      <c r="M46" s="6"/>
      <c r="N46" s="3"/>
      <c r="O46" s="7"/>
      <c r="P46" s="3"/>
      <c r="Q46" s="3"/>
      <c r="R46" s="21" t="e">
        <f>+Q46/P46</f>
        <v>#DIV/0!</v>
      </c>
      <c r="S46" s="3"/>
      <c r="T46" s="3"/>
      <c r="U46" s="3"/>
      <c r="V46" s="3"/>
      <c r="W46" s="3"/>
    </row>
    <row r="47" spans="2:23" ht="15.75">
      <c r="B47" s="3" t="str">
        <f t="shared" si="0"/>
        <v>Oct</v>
      </c>
      <c r="C47" s="3">
        <f t="shared" si="1"/>
        <v>41</v>
      </c>
      <c r="D47" s="4">
        <v>46304</v>
      </c>
      <c r="E47" s="3"/>
      <c r="F47" s="3"/>
      <c r="G47" s="3"/>
      <c r="H47" s="20">
        <f>+J47+L47+N47</f>
        <v>0</v>
      </c>
      <c r="I47" s="23">
        <f>+K47+M47+O47</f>
        <v>0</v>
      </c>
      <c r="J47" s="6"/>
      <c r="K47" s="50"/>
      <c r="L47" s="7"/>
      <c r="M47" s="6"/>
      <c r="N47" s="3"/>
      <c r="O47" s="7"/>
      <c r="P47" s="3"/>
      <c r="Q47" s="3"/>
      <c r="R47" s="21" t="e">
        <f>+Q47/P47</f>
        <v>#DIV/0!</v>
      </c>
      <c r="S47" s="3"/>
      <c r="T47" s="3"/>
      <c r="U47" s="3"/>
      <c r="V47" s="3"/>
      <c r="W47" s="3"/>
    </row>
    <row r="48" spans="2:23" ht="15.75">
      <c r="B48" s="3" t="str">
        <f t="shared" si="0"/>
        <v>Oct</v>
      </c>
      <c r="C48" s="3">
        <f t="shared" si="1"/>
        <v>41</v>
      </c>
      <c r="D48" s="4">
        <v>46305</v>
      </c>
      <c r="E48" s="3"/>
      <c r="F48" s="3"/>
      <c r="G48" s="3"/>
      <c r="H48" s="20">
        <f>+J48+L48+N48</f>
        <v>0</v>
      </c>
      <c r="I48" s="23">
        <f>+K48+M48+O48</f>
        <v>0</v>
      </c>
      <c r="J48" s="6"/>
      <c r="K48" s="50"/>
      <c r="L48" s="7"/>
      <c r="M48" s="6"/>
      <c r="N48" s="3"/>
      <c r="O48" s="7"/>
      <c r="P48" s="3"/>
      <c r="Q48" s="3"/>
      <c r="R48" s="21" t="e">
        <f>+Q48/P48</f>
        <v>#DIV/0!</v>
      </c>
      <c r="S48" s="3"/>
      <c r="T48" s="3"/>
      <c r="U48" s="3"/>
      <c r="V48" s="3"/>
      <c r="W48" s="3"/>
    </row>
    <row r="49" spans="2:23" ht="15.75">
      <c r="B49" s="3" t="str">
        <f t="shared" si="0"/>
        <v>Oct</v>
      </c>
      <c r="C49" s="3">
        <f t="shared" si="1"/>
        <v>42</v>
      </c>
      <c r="D49" s="4">
        <v>46306</v>
      </c>
      <c r="E49" s="3"/>
      <c r="F49" s="3"/>
      <c r="G49" s="3"/>
      <c r="H49" s="20">
        <f>+J49+L49+N49</f>
        <v>0</v>
      </c>
      <c r="I49" s="23">
        <f>+K49+M49+O49</f>
        <v>0</v>
      </c>
      <c r="J49" s="6"/>
      <c r="K49" s="50"/>
      <c r="L49" s="7"/>
      <c r="M49" s="6"/>
      <c r="N49" s="3"/>
      <c r="O49" s="7"/>
      <c r="P49" s="3"/>
      <c r="Q49" s="3"/>
      <c r="R49" s="21" t="e">
        <f>+Q49/P49</f>
        <v>#DIV/0!</v>
      </c>
      <c r="S49" s="3"/>
      <c r="T49" s="3"/>
      <c r="U49" s="3"/>
      <c r="V49" s="3"/>
      <c r="W49" s="3"/>
    </row>
    <row r="50" spans="2:23" ht="15.75">
      <c r="B50" s="3" t="str">
        <f t="shared" si="0"/>
        <v>Oct</v>
      </c>
      <c r="C50" s="3">
        <f t="shared" si="1"/>
        <v>42</v>
      </c>
      <c r="D50" s="4">
        <v>46307</v>
      </c>
      <c r="E50" s="3"/>
      <c r="F50" s="3"/>
      <c r="G50" s="3"/>
      <c r="H50" s="20">
        <f>+J50+L50+N50</f>
        <v>0</v>
      </c>
      <c r="I50" s="23">
        <f>+K50+M50+O50</f>
        <v>0</v>
      </c>
      <c r="J50" s="6"/>
      <c r="K50" s="50"/>
      <c r="L50" s="7"/>
      <c r="M50" s="6"/>
      <c r="N50" s="3"/>
      <c r="O50" s="7"/>
      <c r="P50" s="3"/>
      <c r="Q50" s="3"/>
      <c r="R50" s="21" t="e">
        <f>+Q50/P50</f>
        <v>#DIV/0!</v>
      </c>
      <c r="S50" s="3"/>
      <c r="T50" s="3"/>
      <c r="U50" s="3"/>
      <c r="V50" s="3"/>
      <c r="W50" s="3"/>
    </row>
    <row r="51" spans="2:23" ht="15.75">
      <c r="B51" s="3" t="str">
        <f t="shared" si="0"/>
        <v>Oct</v>
      </c>
      <c r="C51" s="3">
        <f t="shared" si="1"/>
        <v>42</v>
      </c>
      <c r="D51" s="4">
        <v>46308</v>
      </c>
      <c r="E51" s="3"/>
      <c r="F51" s="3"/>
      <c r="G51" s="3"/>
      <c r="H51" s="20">
        <f>+J51+L51+N51</f>
        <v>0</v>
      </c>
      <c r="I51" s="23">
        <f>+K51+M51+O51</f>
        <v>0</v>
      </c>
      <c r="J51" s="6"/>
      <c r="K51" s="50"/>
      <c r="L51" s="7"/>
      <c r="M51" s="6"/>
      <c r="N51" s="3"/>
      <c r="O51" s="7"/>
      <c r="P51" s="3"/>
      <c r="Q51" s="3"/>
      <c r="R51" s="21" t="e">
        <f>+Q51/P51</f>
        <v>#DIV/0!</v>
      </c>
      <c r="S51" s="3"/>
      <c r="T51" s="3"/>
      <c r="U51" s="3"/>
      <c r="V51" s="3"/>
      <c r="W51" s="3"/>
    </row>
    <row r="52" spans="2:23" ht="15.75">
      <c r="B52" s="3" t="str">
        <f t="shared" si="0"/>
        <v>Oct</v>
      </c>
      <c r="C52" s="3">
        <f t="shared" si="1"/>
        <v>42</v>
      </c>
      <c r="D52" s="4">
        <v>46309</v>
      </c>
      <c r="E52" s="3"/>
      <c r="F52" s="3"/>
      <c r="G52" s="3"/>
      <c r="H52" s="20">
        <f>+J52+L52+N52</f>
        <v>0</v>
      </c>
      <c r="I52" s="23">
        <f>+K52+M52+O52</f>
        <v>0</v>
      </c>
      <c r="J52" s="6"/>
      <c r="K52" s="50"/>
      <c r="L52" s="7"/>
      <c r="M52" s="6"/>
      <c r="N52" s="3"/>
      <c r="O52" s="7"/>
      <c r="P52" s="3"/>
      <c r="Q52" s="3"/>
      <c r="R52" s="21" t="e">
        <f>+Q52/P52</f>
        <v>#DIV/0!</v>
      </c>
      <c r="S52" s="3"/>
      <c r="T52" s="3"/>
      <c r="U52" s="3"/>
      <c r="V52" s="3"/>
      <c r="W52" s="3"/>
    </row>
    <row r="53" spans="2:23" ht="15.75">
      <c r="B53" s="3" t="str">
        <f t="shared" si="0"/>
        <v>Oct</v>
      </c>
      <c r="C53" s="3">
        <f t="shared" si="1"/>
        <v>42</v>
      </c>
      <c r="D53" s="4">
        <v>46310</v>
      </c>
      <c r="E53" s="3"/>
      <c r="F53" s="3"/>
      <c r="G53" s="3"/>
      <c r="H53" s="20">
        <f>+J53+L53+N53</f>
        <v>0</v>
      </c>
      <c r="I53" s="23">
        <f>+K53+M53+O53</f>
        <v>0</v>
      </c>
      <c r="J53" s="6"/>
      <c r="K53" s="50"/>
      <c r="L53" s="7"/>
      <c r="M53" s="6"/>
      <c r="N53" s="3"/>
      <c r="O53" s="7"/>
      <c r="P53" s="3"/>
      <c r="Q53" s="3"/>
      <c r="R53" s="21" t="e">
        <f>+Q53/P53</f>
        <v>#DIV/0!</v>
      </c>
      <c r="S53" s="3"/>
      <c r="T53" s="3"/>
      <c r="U53" s="3"/>
      <c r="V53" s="3"/>
      <c r="W53" s="3"/>
    </row>
    <row r="54" spans="2:23">
      <c r="B54" s="3" t="str">
        <f t="shared" si="0"/>
        <v>Oct</v>
      </c>
      <c r="C54" s="3">
        <f t="shared" si="1"/>
        <v>42</v>
      </c>
      <c r="D54" s="4">
        <v>46311</v>
      </c>
      <c r="E54" s="3"/>
      <c r="F54" s="3"/>
      <c r="G54" s="3"/>
      <c r="H54" s="20">
        <f>+J54+L54+N54</f>
        <v>0</v>
      </c>
      <c r="I54" s="23">
        <f>+K54+M54+O54</f>
        <v>0</v>
      </c>
      <c r="J54" s="6"/>
      <c r="K54" s="3"/>
      <c r="L54" s="7"/>
      <c r="M54" s="6"/>
      <c r="N54" s="3"/>
      <c r="O54" s="7"/>
      <c r="P54" s="3"/>
      <c r="Q54" s="3"/>
      <c r="R54" s="21" t="e">
        <f>+Q54/P54</f>
        <v>#DIV/0!</v>
      </c>
      <c r="S54" s="3"/>
      <c r="T54" s="3"/>
      <c r="U54" s="3"/>
      <c r="V54" s="3"/>
      <c r="W54" s="3"/>
    </row>
    <row r="55" spans="2:23">
      <c r="B55" s="3" t="str">
        <f t="shared" si="0"/>
        <v>Oct</v>
      </c>
      <c r="C55" s="3">
        <f t="shared" si="1"/>
        <v>42</v>
      </c>
      <c r="D55" s="4">
        <v>46312</v>
      </c>
      <c r="E55" s="3"/>
      <c r="F55" s="3"/>
      <c r="G55" s="3"/>
      <c r="H55" s="20">
        <f>+J55+L55+N55</f>
        <v>0</v>
      </c>
      <c r="I55" s="23">
        <f>+K55+M55+O55</f>
        <v>0</v>
      </c>
      <c r="J55" s="6"/>
      <c r="K55" s="3"/>
      <c r="L55" s="7"/>
      <c r="M55" s="6"/>
      <c r="N55" s="3"/>
      <c r="O55" s="7"/>
      <c r="P55" s="3"/>
      <c r="Q55" s="3"/>
      <c r="R55" s="21" t="e">
        <f>+Q55/P55</f>
        <v>#DIV/0!</v>
      </c>
      <c r="S55" s="3"/>
      <c r="T55" s="3"/>
      <c r="U55" s="3"/>
      <c r="V55" s="3"/>
      <c r="W55" s="3"/>
    </row>
    <row r="56" spans="2:23">
      <c r="B56" s="3" t="str">
        <f t="shared" si="0"/>
        <v>Oct</v>
      </c>
      <c r="C56" s="3">
        <f t="shared" si="1"/>
        <v>43</v>
      </c>
      <c r="D56" s="4">
        <v>46313</v>
      </c>
      <c r="E56" s="3"/>
      <c r="F56" s="3"/>
      <c r="G56" s="3"/>
      <c r="H56" s="20">
        <f>+J56+L56+N56</f>
        <v>0</v>
      </c>
      <c r="I56" s="23">
        <f>+K56+M56+O56</f>
        <v>0</v>
      </c>
      <c r="J56" s="6"/>
      <c r="K56" s="3"/>
      <c r="L56" s="7"/>
      <c r="M56" s="6"/>
      <c r="N56" s="3"/>
      <c r="O56" s="7"/>
      <c r="P56" s="3"/>
      <c r="Q56" s="3"/>
      <c r="R56" s="21" t="e">
        <f>+Q56/P56</f>
        <v>#DIV/0!</v>
      </c>
      <c r="S56" s="3"/>
      <c r="T56" s="3"/>
      <c r="U56" s="3"/>
      <c r="V56" s="3"/>
      <c r="W56" s="3"/>
    </row>
    <row r="57" spans="2:23">
      <c r="B57" s="3" t="str">
        <f t="shared" si="0"/>
        <v>Oct</v>
      </c>
      <c r="C57" s="3">
        <f t="shared" si="1"/>
        <v>43</v>
      </c>
      <c r="D57" s="4">
        <v>46314</v>
      </c>
      <c r="E57" s="3"/>
      <c r="F57" s="3"/>
      <c r="G57" s="3"/>
      <c r="H57" s="20">
        <f>+J57+L57+N57</f>
        <v>0</v>
      </c>
      <c r="I57" s="23">
        <f>+K57+M57+O57</f>
        <v>0</v>
      </c>
      <c r="J57" s="6"/>
      <c r="K57" s="3"/>
      <c r="L57" s="7"/>
      <c r="M57" s="6"/>
      <c r="N57" s="3"/>
      <c r="O57" s="7"/>
      <c r="P57" s="3"/>
      <c r="Q57" s="3"/>
      <c r="R57" s="21" t="e">
        <f>+Q57/P57</f>
        <v>#DIV/0!</v>
      </c>
      <c r="S57" s="3"/>
      <c r="T57" s="3"/>
      <c r="U57" s="3"/>
      <c r="V57" s="3"/>
      <c r="W57" s="3"/>
    </row>
    <row r="58" spans="2:23">
      <c r="B58" s="3" t="str">
        <f t="shared" si="0"/>
        <v>Oct</v>
      </c>
      <c r="C58" s="3">
        <f t="shared" si="1"/>
        <v>43</v>
      </c>
      <c r="D58" s="4">
        <v>46315</v>
      </c>
      <c r="E58" s="3"/>
      <c r="F58" s="3"/>
      <c r="G58" s="3"/>
      <c r="H58" s="20">
        <f>+J58+L58+N58</f>
        <v>0</v>
      </c>
      <c r="I58" s="23">
        <f>+K58+M58+O58</f>
        <v>0</v>
      </c>
      <c r="J58" s="6"/>
      <c r="K58" s="3"/>
      <c r="L58" s="7"/>
      <c r="M58" s="6"/>
      <c r="N58" s="3"/>
      <c r="O58" s="7"/>
      <c r="P58" s="3"/>
      <c r="Q58" s="3"/>
      <c r="R58" s="21" t="e">
        <f>+Q58/P58</f>
        <v>#DIV/0!</v>
      </c>
      <c r="S58" s="3"/>
      <c r="T58" s="3"/>
      <c r="U58" s="3"/>
      <c r="V58" s="3"/>
      <c r="W58" s="3"/>
    </row>
    <row r="59" spans="2:23">
      <c r="B59" s="3" t="str">
        <f t="shared" si="0"/>
        <v>Oct</v>
      </c>
      <c r="C59" s="3">
        <f t="shared" si="1"/>
        <v>43</v>
      </c>
      <c r="D59" s="4">
        <v>46316</v>
      </c>
      <c r="E59" s="3"/>
      <c r="F59" s="3"/>
      <c r="G59" s="3"/>
      <c r="H59" s="20">
        <f>+J59+L59+N59</f>
        <v>0</v>
      </c>
      <c r="I59" s="23">
        <f>+K59+M59+O59</f>
        <v>0</v>
      </c>
      <c r="J59" s="6"/>
      <c r="K59" s="3"/>
      <c r="L59" s="7"/>
      <c r="M59" s="6"/>
      <c r="N59" s="3"/>
      <c r="O59" s="7"/>
      <c r="P59" s="3"/>
      <c r="Q59" s="3"/>
      <c r="R59" s="21" t="e">
        <f>+Q59/P59</f>
        <v>#DIV/0!</v>
      </c>
      <c r="S59" s="3"/>
      <c r="T59" s="3"/>
      <c r="U59" s="3"/>
      <c r="V59" s="3"/>
      <c r="W59" s="3"/>
    </row>
    <row r="60" spans="2:23">
      <c r="B60" s="3" t="str">
        <f t="shared" si="0"/>
        <v>Oct</v>
      </c>
      <c r="C60" s="3">
        <f t="shared" si="1"/>
        <v>43</v>
      </c>
      <c r="D60" s="4">
        <v>46317</v>
      </c>
      <c r="E60" s="3"/>
      <c r="F60" s="3"/>
      <c r="G60" s="3"/>
      <c r="H60" s="20">
        <f>+J60+L60+N60</f>
        <v>0</v>
      </c>
      <c r="I60" s="23">
        <f>+K60+M60+O60</f>
        <v>0</v>
      </c>
      <c r="J60" s="6"/>
      <c r="K60" s="3"/>
      <c r="L60" s="7"/>
      <c r="M60" s="6"/>
      <c r="N60" s="3"/>
      <c r="O60" s="7"/>
      <c r="P60" s="3"/>
      <c r="Q60" s="3"/>
      <c r="R60" s="21" t="e">
        <f>+Q60/P60</f>
        <v>#DIV/0!</v>
      </c>
      <c r="S60" s="3"/>
      <c r="T60" s="3"/>
      <c r="U60" s="3"/>
      <c r="V60" s="3"/>
      <c r="W60" s="3"/>
    </row>
    <row r="61" spans="2:23">
      <c r="B61" s="3" t="str">
        <f t="shared" si="0"/>
        <v>Oct</v>
      </c>
      <c r="C61" s="3">
        <f t="shared" si="1"/>
        <v>43</v>
      </c>
      <c r="D61" s="4">
        <v>46318</v>
      </c>
      <c r="E61" s="3"/>
      <c r="F61" s="3"/>
      <c r="G61" s="3"/>
      <c r="H61" s="20">
        <f>+J61+L61+N61</f>
        <v>0</v>
      </c>
      <c r="I61" s="23">
        <f>+K61+M61+O61</f>
        <v>0</v>
      </c>
      <c r="J61" s="6"/>
      <c r="K61" s="3"/>
      <c r="L61" s="7"/>
      <c r="M61" s="6"/>
      <c r="N61" s="3"/>
      <c r="O61" s="7"/>
      <c r="P61" s="3"/>
      <c r="Q61" s="3"/>
      <c r="R61" s="21" t="e">
        <f>+Q61/P61</f>
        <v>#DIV/0!</v>
      </c>
      <c r="S61" s="3"/>
      <c r="T61" s="3"/>
      <c r="U61" s="3"/>
      <c r="V61" s="3"/>
      <c r="W61" s="3"/>
    </row>
    <row r="62" spans="2:23">
      <c r="B62" s="3" t="str">
        <f t="shared" si="0"/>
        <v>Oct</v>
      </c>
      <c r="C62" s="3">
        <f t="shared" si="1"/>
        <v>43</v>
      </c>
      <c r="D62" s="4">
        <v>46319</v>
      </c>
      <c r="E62" s="3"/>
      <c r="F62" s="3"/>
      <c r="G62" s="3"/>
      <c r="H62" s="20">
        <f>+J62+L62+N62</f>
        <v>0</v>
      </c>
      <c r="I62" s="23">
        <f>+K62+M62+O62</f>
        <v>0</v>
      </c>
      <c r="J62" s="6"/>
      <c r="K62" s="3"/>
      <c r="L62" s="7"/>
      <c r="M62" s="6"/>
      <c r="N62" s="3"/>
      <c r="O62" s="7"/>
      <c r="P62" s="3"/>
      <c r="Q62" s="3"/>
      <c r="R62" s="21" t="e">
        <f>+Q62/P62</f>
        <v>#DIV/0!</v>
      </c>
      <c r="S62" s="3"/>
      <c r="T62" s="3"/>
      <c r="U62" s="3"/>
      <c r="V62" s="3"/>
      <c r="W62" s="3"/>
    </row>
    <row r="63" spans="2:23">
      <c r="B63" s="3" t="str">
        <f t="shared" si="0"/>
        <v>Oct</v>
      </c>
      <c r="C63" s="3">
        <f t="shared" si="1"/>
        <v>44</v>
      </c>
      <c r="D63" s="4">
        <v>46320</v>
      </c>
      <c r="E63" s="3"/>
      <c r="F63" s="3"/>
      <c r="G63" s="3"/>
      <c r="H63" s="20">
        <f>+J63+L63+N63</f>
        <v>0</v>
      </c>
      <c r="I63" s="23">
        <f>+K63+M63+O63</f>
        <v>0</v>
      </c>
      <c r="J63" s="6"/>
      <c r="K63" s="3"/>
      <c r="L63" s="7"/>
      <c r="M63" s="6"/>
      <c r="N63" s="3"/>
      <c r="O63" s="7"/>
      <c r="P63" s="3"/>
      <c r="Q63" s="3"/>
      <c r="R63" s="21" t="e">
        <f>+Q63/P63</f>
        <v>#DIV/0!</v>
      </c>
      <c r="S63" s="3"/>
      <c r="T63" s="3"/>
      <c r="U63" s="3"/>
      <c r="V63" s="3"/>
      <c r="W63" s="3"/>
    </row>
    <row r="64" spans="2:23">
      <c r="B64" s="3" t="str">
        <f t="shared" si="0"/>
        <v>Oct</v>
      </c>
      <c r="C64" s="3">
        <f t="shared" si="1"/>
        <v>44</v>
      </c>
      <c r="D64" s="4">
        <v>46321</v>
      </c>
      <c r="E64" s="3"/>
      <c r="F64" s="3"/>
      <c r="G64" s="3"/>
      <c r="H64" s="20">
        <f>+J64+L64+N64</f>
        <v>0</v>
      </c>
      <c r="I64" s="23">
        <f>+K64+M64+O64</f>
        <v>0</v>
      </c>
      <c r="J64" s="6"/>
      <c r="K64" s="3"/>
      <c r="L64" s="7"/>
      <c r="M64" s="6"/>
      <c r="N64" s="3"/>
      <c r="O64" s="7"/>
      <c r="P64" s="3"/>
      <c r="Q64" s="3"/>
      <c r="R64" s="21" t="e">
        <f>+Q64/P64</f>
        <v>#DIV/0!</v>
      </c>
      <c r="S64" s="3"/>
      <c r="T64" s="3"/>
      <c r="U64" s="3"/>
      <c r="V64" s="3"/>
      <c r="W64" s="3"/>
    </row>
    <row r="65" spans="2:23">
      <c r="B65" s="3" t="str">
        <f t="shared" si="0"/>
        <v>Oct</v>
      </c>
      <c r="C65" s="3">
        <f t="shared" si="1"/>
        <v>44</v>
      </c>
      <c r="D65" s="4">
        <v>46322</v>
      </c>
      <c r="E65" s="3"/>
      <c r="F65" s="3"/>
      <c r="G65" s="3"/>
      <c r="H65" s="20">
        <f>+J65+L65+N65</f>
        <v>0</v>
      </c>
      <c r="I65" s="23">
        <f>+K65+M65+O65</f>
        <v>0</v>
      </c>
      <c r="J65" s="6"/>
      <c r="K65" s="3"/>
      <c r="L65" s="7"/>
      <c r="M65" s="6"/>
      <c r="N65" s="3"/>
      <c r="O65" s="7"/>
      <c r="P65" s="3"/>
      <c r="Q65" s="3"/>
      <c r="R65" s="21" t="e">
        <f>+Q65/P65</f>
        <v>#DIV/0!</v>
      </c>
      <c r="S65" s="3"/>
      <c r="T65" s="3"/>
      <c r="U65" s="3"/>
      <c r="V65" s="3"/>
      <c r="W65" s="3"/>
    </row>
    <row r="66" spans="2:23">
      <c r="B66" s="3" t="str">
        <f t="shared" si="0"/>
        <v>Oct</v>
      </c>
      <c r="C66" s="3">
        <f t="shared" si="1"/>
        <v>44</v>
      </c>
      <c r="D66" s="4">
        <v>46323</v>
      </c>
      <c r="E66" s="3"/>
      <c r="F66" s="3"/>
      <c r="G66" s="3"/>
      <c r="H66" s="20">
        <f>+J66+L66+N66</f>
        <v>0</v>
      </c>
      <c r="I66" s="23">
        <f>+K66+M66+O66</f>
        <v>0</v>
      </c>
      <c r="J66" s="6"/>
      <c r="K66" s="3"/>
      <c r="L66" s="7"/>
      <c r="M66" s="6"/>
      <c r="N66" s="3"/>
      <c r="O66" s="7"/>
      <c r="P66" s="3"/>
      <c r="Q66" s="3"/>
      <c r="R66" s="21" t="e">
        <f>+Q66/P66</f>
        <v>#DIV/0!</v>
      </c>
      <c r="S66" s="3"/>
      <c r="T66" s="3"/>
      <c r="U66" s="3"/>
      <c r="V66" s="3"/>
      <c r="W66" s="3"/>
    </row>
    <row r="67" spans="2:23">
      <c r="B67" s="3" t="str">
        <f t="shared" si="0"/>
        <v>Oct</v>
      </c>
      <c r="C67" s="3">
        <f t="shared" si="1"/>
        <v>44</v>
      </c>
      <c r="D67" s="4">
        <v>46324</v>
      </c>
      <c r="E67" s="3"/>
      <c r="F67" s="3"/>
      <c r="G67" s="3"/>
      <c r="H67" s="20">
        <f>+J67+L67+N67</f>
        <v>0</v>
      </c>
      <c r="I67" s="23">
        <f>+K67+M67+O67</f>
        <v>0</v>
      </c>
      <c r="J67" s="6"/>
      <c r="K67" s="3"/>
      <c r="L67" s="7"/>
      <c r="M67" s="6"/>
      <c r="N67" s="3"/>
      <c r="O67" s="7"/>
      <c r="P67" s="3"/>
      <c r="Q67" s="3"/>
      <c r="R67" s="21" t="e">
        <f>+Q67/P67</f>
        <v>#DIV/0!</v>
      </c>
      <c r="S67" s="3"/>
      <c r="T67" s="3"/>
      <c r="U67" s="3"/>
      <c r="V67" s="3"/>
      <c r="W67" s="3"/>
    </row>
    <row r="68" spans="2:23">
      <c r="B68" s="3" t="str">
        <f t="shared" ref="B68:B131" si="6">+TEXT(D68,"MMM")</f>
        <v>Oct</v>
      </c>
      <c r="C68" s="3">
        <f t="shared" ref="C68:C130" si="7">+WEEKNUM(D68)</f>
        <v>44</v>
      </c>
      <c r="D68" s="4">
        <v>46325</v>
      </c>
      <c r="E68" s="3"/>
      <c r="F68" s="3"/>
      <c r="G68" s="3"/>
      <c r="H68" s="20">
        <f>+J68+L68+N68</f>
        <v>0</v>
      </c>
      <c r="I68" s="23">
        <f>+K68+M68+O68</f>
        <v>0</v>
      </c>
      <c r="J68" s="6"/>
      <c r="K68" s="3"/>
      <c r="L68" s="7"/>
      <c r="M68" s="6"/>
      <c r="N68" s="3"/>
      <c r="O68" s="7"/>
      <c r="P68" s="3"/>
      <c r="Q68" s="3"/>
      <c r="R68" s="21" t="e">
        <f>+Q68/P68</f>
        <v>#DIV/0!</v>
      </c>
      <c r="S68" s="3"/>
      <c r="T68" s="3"/>
      <c r="U68" s="3"/>
      <c r="V68" s="3"/>
      <c r="W68" s="3"/>
    </row>
    <row r="69" spans="2:23">
      <c r="B69" s="3" t="str">
        <f t="shared" si="6"/>
        <v>Oct</v>
      </c>
      <c r="C69" s="3">
        <f t="shared" si="7"/>
        <v>44</v>
      </c>
      <c r="D69" s="4">
        <v>46326</v>
      </c>
      <c r="E69" s="3"/>
      <c r="F69" s="3"/>
      <c r="G69" s="3"/>
      <c r="H69" s="20">
        <f>+J69+L69+N69</f>
        <v>0</v>
      </c>
      <c r="I69" s="23">
        <f>+K69+M69+O69</f>
        <v>0</v>
      </c>
      <c r="J69" s="6"/>
      <c r="K69" s="3"/>
      <c r="L69" s="7"/>
      <c r="M69" s="6"/>
      <c r="N69" s="3"/>
      <c r="O69" s="7"/>
      <c r="P69" s="3"/>
      <c r="Q69" s="3"/>
      <c r="R69" s="21" t="e">
        <f>+Q69/P69</f>
        <v>#DIV/0!</v>
      </c>
      <c r="S69" s="3"/>
      <c r="T69" s="3"/>
      <c r="U69" s="3"/>
      <c r="V69" s="3"/>
      <c r="W69" s="3"/>
    </row>
    <row r="70" spans="2:23">
      <c r="B70" s="3" t="str">
        <f t="shared" si="6"/>
        <v>Nov</v>
      </c>
      <c r="C70" s="3">
        <f t="shared" si="7"/>
        <v>45</v>
      </c>
      <c r="D70" s="4">
        <v>46327</v>
      </c>
      <c r="E70" s="3"/>
      <c r="F70" s="3"/>
      <c r="G70" s="3"/>
      <c r="H70" s="20">
        <f>+J70+L70+N70</f>
        <v>0</v>
      </c>
      <c r="I70" s="23">
        <f>+K70+M70+O70</f>
        <v>0</v>
      </c>
      <c r="J70" s="6"/>
      <c r="K70" s="3"/>
      <c r="L70" s="7"/>
      <c r="M70" s="6"/>
      <c r="N70" s="3"/>
      <c r="O70" s="7"/>
      <c r="P70" s="3"/>
      <c r="Q70" s="3"/>
      <c r="R70" s="21" t="e">
        <f>+Q70/P70</f>
        <v>#DIV/0!</v>
      </c>
      <c r="S70" s="3"/>
      <c r="T70" s="3"/>
      <c r="U70" s="3"/>
      <c r="V70" s="3"/>
      <c r="W70" s="3"/>
    </row>
    <row r="71" spans="2:23">
      <c r="B71" s="3" t="str">
        <f t="shared" si="6"/>
        <v>Nov</v>
      </c>
      <c r="C71" s="3">
        <f t="shared" si="7"/>
        <v>45</v>
      </c>
      <c r="D71" s="4">
        <v>46328</v>
      </c>
      <c r="E71" s="3"/>
      <c r="F71" s="3"/>
      <c r="G71" s="3"/>
      <c r="H71" s="20">
        <f>+J71+L71+N71</f>
        <v>0</v>
      </c>
      <c r="I71" s="23">
        <f>+K71+M71+O71</f>
        <v>0</v>
      </c>
      <c r="J71" s="6"/>
      <c r="K71" s="3"/>
      <c r="L71" s="7"/>
      <c r="M71" s="6"/>
      <c r="N71" s="3"/>
      <c r="O71" s="7"/>
      <c r="P71" s="3"/>
      <c r="Q71" s="3"/>
      <c r="R71" s="21" t="e">
        <f>+Q71/P71</f>
        <v>#DIV/0!</v>
      </c>
      <c r="S71" s="3"/>
      <c r="T71" s="3"/>
      <c r="U71" s="3"/>
      <c r="V71" s="3"/>
      <c r="W71" s="3"/>
    </row>
    <row r="72" spans="2:23">
      <c r="B72" s="3" t="str">
        <f t="shared" si="6"/>
        <v>Nov</v>
      </c>
      <c r="C72" s="3">
        <f t="shared" si="7"/>
        <v>45</v>
      </c>
      <c r="D72" s="4">
        <v>46329</v>
      </c>
      <c r="E72" s="3"/>
      <c r="F72" s="3"/>
      <c r="G72" s="3"/>
      <c r="H72" s="20">
        <f>+J72+L72+N72</f>
        <v>0</v>
      </c>
      <c r="I72" s="23">
        <f>+K72+M72+O72</f>
        <v>0</v>
      </c>
      <c r="J72" s="6"/>
      <c r="K72" s="3"/>
      <c r="L72" s="7"/>
      <c r="M72" s="6"/>
      <c r="N72" s="3"/>
      <c r="O72" s="7"/>
      <c r="P72" s="3"/>
      <c r="Q72" s="3"/>
      <c r="R72" s="21" t="e">
        <f>+Q72/P72</f>
        <v>#DIV/0!</v>
      </c>
      <c r="S72" s="3"/>
      <c r="T72" s="3"/>
      <c r="U72" s="3"/>
      <c r="V72" s="3"/>
      <c r="W72" s="3"/>
    </row>
    <row r="73" spans="2:23">
      <c r="B73" s="3" t="str">
        <f t="shared" si="6"/>
        <v>Nov</v>
      </c>
      <c r="C73" s="3">
        <f t="shared" si="7"/>
        <v>45</v>
      </c>
      <c r="D73" s="4">
        <v>46330</v>
      </c>
      <c r="E73" s="3"/>
      <c r="F73" s="3"/>
      <c r="G73" s="3"/>
      <c r="H73" s="20">
        <f>+J73+L73+N73</f>
        <v>0</v>
      </c>
      <c r="I73" s="23">
        <f>+K73+M73+O73</f>
        <v>0</v>
      </c>
      <c r="J73" s="6"/>
      <c r="K73" s="3"/>
      <c r="L73" s="7"/>
      <c r="M73" s="6"/>
      <c r="N73" s="3"/>
      <c r="O73" s="7"/>
      <c r="P73" s="3"/>
      <c r="Q73" s="3"/>
      <c r="R73" s="21" t="e">
        <f>+Q73/P73</f>
        <v>#DIV/0!</v>
      </c>
      <c r="S73" s="3"/>
      <c r="T73" s="3"/>
      <c r="U73" s="3"/>
      <c r="V73" s="3"/>
      <c r="W73" s="3"/>
    </row>
    <row r="74" spans="2:23">
      <c r="B74" s="3" t="str">
        <f t="shared" si="6"/>
        <v>Nov</v>
      </c>
      <c r="C74" s="3">
        <f t="shared" si="7"/>
        <v>45</v>
      </c>
      <c r="D74" s="4">
        <v>46331</v>
      </c>
      <c r="E74" s="3"/>
      <c r="F74" s="3"/>
      <c r="G74" s="3"/>
      <c r="H74" s="20">
        <f>+J74+L74+N74</f>
        <v>0</v>
      </c>
      <c r="I74" s="23">
        <f>+K74+M74+O74</f>
        <v>0</v>
      </c>
      <c r="J74" s="6"/>
      <c r="K74" s="3"/>
      <c r="L74" s="7"/>
      <c r="M74" s="6"/>
      <c r="N74" s="3"/>
      <c r="O74" s="7"/>
      <c r="P74" s="3"/>
      <c r="Q74" s="3"/>
      <c r="R74" s="21" t="e">
        <f>+Q74/P74</f>
        <v>#DIV/0!</v>
      </c>
      <c r="S74" s="3"/>
      <c r="T74" s="3"/>
      <c r="U74" s="3"/>
      <c r="V74" s="3"/>
      <c r="W74" s="3"/>
    </row>
    <row r="75" spans="2:23">
      <c r="B75" s="3" t="str">
        <f t="shared" si="6"/>
        <v>Nov</v>
      </c>
      <c r="C75" s="3">
        <f t="shared" si="7"/>
        <v>45</v>
      </c>
      <c r="D75" s="4">
        <v>46332</v>
      </c>
      <c r="E75" s="3"/>
      <c r="F75" s="3"/>
      <c r="G75" s="3"/>
      <c r="H75" s="20">
        <f>+J75+L75+N75</f>
        <v>0</v>
      </c>
      <c r="I75" s="23">
        <f>+K75+M75+O75</f>
        <v>0</v>
      </c>
      <c r="J75" s="6"/>
      <c r="K75" s="3"/>
      <c r="L75" s="7"/>
      <c r="M75" s="6"/>
      <c r="N75" s="3"/>
      <c r="O75" s="7"/>
      <c r="P75" s="3"/>
      <c r="Q75" s="3"/>
      <c r="R75" s="21" t="e">
        <f>+Q75/P75</f>
        <v>#DIV/0!</v>
      </c>
      <c r="S75" s="3"/>
      <c r="T75" s="3"/>
      <c r="U75" s="3"/>
      <c r="V75" s="3"/>
      <c r="W75" s="3"/>
    </row>
    <row r="76" spans="2:23">
      <c r="B76" s="3" t="str">
        <f t="shared" si="6"/>
        <v>Nov</v>
      </c>
      <c r="C76" s="3">
        <f t="shared" si="7"/>
        <v>45</v>
      </c>
      <c r="D76" s="4">
        <v>46333</v>
      </c>
      <c r="E76" s="3"/>
      <c r="F76" s="3"/>
      <c r="G76" s="3"/>
      <c r="H76" s="20">
        <f>+J76+L76+N76</f>
        <v>0</v>
      </c>
      <c r="I76" s="23">
        <f>+K76+M76+O76</f>
        <v>0</v>
      </c>
      <c r="J76" s="6"/>
      <c r="K76" s="3"/>
      <c r="L76" s="7"/>
      <c r="M76" s="6"/>
      <c r="N76" s="3"/>
      <c r="O76" s="7"/>
      <c r="P76" s="3"/>
      <c r="Q76" s="3"/>
      <c r="R76" s="21" t="e">
        <f>+Q76/P76</f>
        <v>#DIV/0!</v>
      </c>
      <c r="S76" s="3"/>
      <c r="T76" s="3"/>
      <c r="U76" s="3"/>
      <c r="V76" s="3"/>
      <c r="W76" s="3"/>
    </row>
    <row r="77" spans="2:23">
      <c r="B77" s="3" t="str">
        <f t="shared" si="6"/>
        <v>Nov</v>
      </c>
      <c r="C77" s="3">
        <f t="shared" si="7"/>
        <v>46</v>
      </c>
      <c r="D77" s="4">
        <v>46334</v>
      </c>
      <c r="E77" s="3"/>
      <c r="F77" s="3"/>
      <c r="G77" s="3"/>
      <c r="H77" s="20">
        <f>+J77+L77+N77</f>
        <v>0</v>
      </c>
      <c r="I77" s="23">
        <f>+K77+M77+O77</f>
        <v>0</v>
      </c>
      <c r="J77" s="6"/>
      <c r="K77" s="3"/>
      <c r="L77" s="7"/>
      <c r="M77" s="6"/>
      <c r="N77" s="3"/>
      <c r="O77" s="7"/>
      <c r="P77" s="3"/>
      <c r="Q77" s="3"/>
      <c r="R77" s="21" t="e">
        <f>+Q77/P77</f>
        <v>#DIV/0!</v>
      </c>
      <c r="S77" s="3"/>
      <c r="T77" s="3"/>
      <c r="U77" s="3"/>
      <c r="V77" s="3"/>
      <c r="W77" s="3"/>
    </row>
    <row r="78" spans="2:23">
      <c r="B78" s="3" t="str">
        <f t="shared" si="6"/>
        <v>Nov</v>
      </c>
      <c r="C78" s="3">
        <f t="shared" si="7"/>
        <v>46</v>
      </c>
      <c r="D78" s="4">
        <v>46335</v>
      </c>
      <c r="E78" s="3"/>
      <c r="F78" s="3"/>
      <c r="G78" s="3"/>
      <c r="H78" s="20">
        <f>+J78+L78+N78</f>
        <v>0</v>
      </c>
      <c r="I78" s="23">
        <f>+K78+M78+O78</f>
        <v>0</v>
      </c>
      <c r="J78" s="6"/>
      <c r="K78" s="3"/>
      <c r="L78" s="7"/>
      <c r="M78" s="6"/>
      <c r="N78" s="3"/>
      <c r="O78" s="7"/>
      <c r="P78" s="3"/>
      <c r="Q78" s="3"/>
      <c r="R78" s="21" t="e">
        <f>+Q78/P78</f>
        <v>#DIV/0!</v>
      </c>
      <c r="S78" s="3"/>
      <c r="T78" s="3"/>
      <c r="U78" s="3"/>
      <c r="V78" s="3"/>
      <c r="W78" s="3"/>
    </row>
    <row r="79" spans="2:23">
      <c r="B79" s="3" t="str">
        <f t="shared" si="6"/>
        <v>Nov</v>
      </c>
      <c r="C79" s="3">
        <f t="shared" si="7"/>
        <v>46</v>
      </c>
      <c r="D79" s="4">
        <v>46336</v>
      </c>
      <c r="E79" s="3"/>
      <c r="F79" s="3"/>
      <c r="G79" s="3"/>
      <c r="H79" s="20">
        <f>+J79+L79+N79</f>
        <v>0</v>
      </c>
      <c r="I79" s="23">
        <f>+K79+M79+O79</f>
        <v>0</v>
      </c>
      <c r="J79" s="6"/>
      <c r="K79" s="3"/>
      <c r="L79" s="7"/>
      <c r="M79" s="6"/>
      <c r="N79" s="3"/>
      <c r="O79" s="7"/>
      <c r="P79" s="3"/>
      <c r="Q79" s="3"/>
      <c r="R79" s="21" t="e">
        <f>+Q79/P79</f>
        <v>#DIV/0!</v>
      </c>
      <c r="S79" s="3"/>
      <c r="T79" s="3"/>
      <c r="U79" s="3"/>
      <c r="V79" s="3"/>
      <c r="W79" s="3"/>
    </row>
    <row r="80" spans="2:23">
      <c r="B80" s="3" t="str">
        <f t="shared" si="6"/>
        <v>Nov</v>
      </c>
      <c r="C80" s="3">
        <f t="shared" si="7"/>
        <v>46</v>
      </c>
      <c r="D80" s="4">
        <v>46337</v>
      </c>
      <c r="E80" s="3"/>
      <c r="F80" s="3"/>
      <c r="G80" s="3"/>
      <c r="H80" s="20">
        <f>+J80+L80+N80</f>
        <v>0</v>
      </c>
      <c r="I80" s="23">
        <f>+K80+M80+O80</f>
        <v>0</v>
      </c>
      <c r="J80" s="6"/>
      <c r="K80" s="3"/>
      <c r="L80" s="7"/>
      <c r="M80" s="6"/>
      <c r="N80" s="3"/>
      <c r="O80" s="7"/>
      <c r="P80" s="3"/>
      <c r="Q80" s="3"/>
      <c r="R80" s="21" t="e">
        <f>+Q80/P80</f>
        <v>#DIV/0!</v>
      </c>
      <c r="S80" s="3"/>
      <c r="T80" s="3"/>
      <c r="U80" s="3"/>
      <c r="V80" s="3"/>
      <c r="W80" s="3"/>
    </row>
    <row r="81" spans="2:23">
      <c r="B81" s="3" t="str">
        <f t="shared" si="6"/>
        <v>Nov</v>
      </c>
      <c r="C81" s="3">
        <f t="shared" si="7"/>
        <v>46</v>
      </c>
      <c r="D81" s="4">
        <v>46338</v>
      </c>
      <c r="E81" s="3"/>
      <c r="F81" s="3"/>
      <c r="G81" s="3"/>
      <c r="H81" s="20">
        <f>+J81+L81+N81</f>
        <v>0</v>
      </c>
      <c r="I81" s="23">
        <f>+K81+M81+O81</f>
        <v>0</v>
      </c>
      <c r="J81" s="6"/>
      <c r="K81" s="3"/>
      <c r="L81" s="7"/>
      <c r="M81" s="6"/>
      <c r="N81" s="3"/>
      <c r="O81" s="7"/>
      <c r="P81" s="3"/>
      <c r="Q81" s="3"/>
      <c r="R81" s="21" t="e">
        <f>+Q81/P81</f>
        <v>#DIV/0!</v>
      </c>
      <c r="S81" s="3"/>
      <c r="T81" s="3"/>
      <c r="U81" s="3"/>
      <c r="V81" s="3"/>
      <c r="W81" s="3"/>
    </row>
    <row r="82" spans="2:23">
      <c r="B82" s="3" t="str">
        <f t="shared" si="6"/>
        <v>Nov</v>
      </c>
      <c r="C82" s="3">
        <f t="shared" si="7"/>
        <v>46</v>
      </c>
      <c r="D82" s="4">
        <v>46339</v>
      </c>
      <c r="E82" s="3"/>
      <c r="F82" s="3"/>
      <c r="G82" s="3"/>
      <c r="H82" s="20">
        <f>+J82+L82+N82</f>
        <v>0</v>
      </c>
      <c r="I82" s="23">
        <f>+K82+M82+O82</f>
        <v>0</v>
      </c>
      <c r="J82" s="6"/>
      <c r="K82" s="3"/>
      <c r="L82" s="7"/>
      <c r="M82" s="6"/>
      <c r="N82" s="3"/>
      <c r="O82" s="7"/>
      <c r="P82" s="3"/>
      <c r="Q82" s="3"/>
      <c r="R82" s="21" t="e">
        <f>+Q82/P82</f>
        <v>#DIV/0!</v>
      </c>
      <c r="S82" s="3"/>
      <c r="T82" s="3"/>
      <c r="U82" s="3"/>
      <c r="V82" s="3"/>
      <c r="W82" s="3"/>
    </row>
    <row r="83" spans="2:23">
      <c r="B83" s="3" t="str">
        <f t="shared" si="6"/>
        <v>Nov</v>
      </c>
      <c r="C83" s="3">
        <f t="shared" si="7"/>
        <v>46</v>
      </c>
      <c r="D83" s="4">
        <v>46340</v>
      </c>
      <c r="E83" s="3"/>
      <c r="F83" s="3"/>
      <c r="G83" s="3"/>
      <c r="H83" s="20">
        <f>+J83+L83+N83</f>
        <v>0</v>
      </c>
      <c r="I83" s="23">
        <f>+K83+M83+O83</f>
        <v>0</v>
      </c>
      <c r="J83" s="6"/>
      <c r="K83" s="3"/>
      <c r="L83" s="7"/>
      <c r="M83" s="6"/>
      <c r="N83" s="3"/>
      <c r="O83" s="7"/>
      <c r="P83" s="3"/>
      <c r="Q83" s="3"/>
      <c r="R83" s="21" t="e">
        <f>+Q83/P83</f>
        <v>#DIV/0!</v>
      </c>
      <c r="S83" s="3"/>
      <c r="T83" s="3"/>
      <c r="U83" s="3"/>
      <c r="V83" s="3"/>
      <c r="W83" s="3"/>
    </row>
    <row r="84" spans="2:23">
      <c r="B84" s="3" t="str">
        <f t="shared" si="6"/>
        <v>Nov</v>
      </c>
      <c r="C84" s="3">
        <f t="shared" si="7"/>
        <v>47</v>
      </c>
      <c r="D84" s="4">
        <v>46341</v>
      </c>
      <c r="E84" s="3"/>
      <c r="F84" s="3"/>
      <c r="G84" s="3"/>
      <c r="H84" s="20">
        <f>+J84+L84+N84</f>
        <v>0</v>
      </c>
      <c r="I84" s="23">
        <f>+K84+M84+O84</f>
        <v>0</v>
      </c>
      <c r="J84" s="6"/>
      <c r="K84" s="3"/>
      <c r="L84" s="7"/>
      <c r="M84" s="6"/>
      <c r="N84" s="3"/>
      <c r="O84" s="7"/>
      <c r="P84" s="3"/>
      <c r="Q84" s="3"/>
      <c r="R84" s="21" t="e">
        <f>+Q84/P84</f>
        <v>#DIV/0!</v>
      </c>
      <c r="S84" s="3"/>
      <c r="T84" s="3"/>
      <c r="U84" s="3"/>
      <c r="V84" s="3"/>
      <c r="W84" s="3"/>
    </row>
    <row r="85" spans="2:23">
      <c r="B85" s="3" t="str">
        <f t="shared" si="6"/>
        <v>Nov</v>
      </c>
      <c r="C85" s="3">
        <f t="shared" si="7"/>
        <v>47</v>
      </c>
      <c r="D85" s="4">
        <v>46342</v>
      </c>
      <c r="E85" s="3"/>
      <c r="F85" s="3"/>
      <c r="G85" s="3"/>
      <c r="H85" s="20">
        <f>+J85+L85+N85</f>
        <v>0</v>
      </c>
      <c r="I85" s="23">
        <f>+K85+M85+O85</f>
        <v>0</v>
      </c>
      <c r="J85" s="6"/>
      <c r="K85" s="3"/>
      <c r="L85" s="7"/>
      <c r="M85" s="6"/>
      <c r="N85" s="3"/>
      <c r="O85" s="7"/>
      <c r="P85" s="3"/>
      <c r="Q85" s="3"/>
      <c r="R85" s="21" t="e">
        <f>+Q85/P85</f>
        <v>#DIV/0!</v>
      </c>
      <c r="S85" s="3"/>
      <c r="T85" s="3"/>
      <c r="U85" s="3"/>
      <c r="V85" s="3"/>
      <c r="W85" s="3"/>
    </row>
    <row r="86" spans="2:23">
      <c r="B86" s="3" t="str">
        <f t="shared" si="6"/>
        <v>Nov</v>
      </c>
      <c r="C86" s="3">
        <f t="shared" si="7"/>
        <v>47</v>
      </c>
      <c r="D86" s="4">
        <v>46343</v>
      </c>
      <c r="E86" s="3"/>
      <c r="F86" s="3"/>
      <c r="G86" s="3"/>
      <c r="H86" s="20">
        <f>+J86+L86+N86</f>
        <v>0</v>
      </c>
      <c r="I86" s="23">
        <f>+K86+M86+O86</f>
        <v>0</v>
      </c>
      <c r="J86" s="6"/>
      <c r="K86" s="3"/>
      <c r="L86" s="7"/>
      <c r="M86" s="6"/>
      <c r="N86" s="3"/>
      <c r="O86" s="7"/>
      <c r="P86" s="3"/>
      <c r="Q86" s="3"/>
      <c r="R86" s="21" t="e">
        <f>+Q86/P86</f>
        <v>#DIV/0!</v>
      </c>
      <c r="S86" s="3"/>
      <c r="T86" s="3"/>
      <c r="U86" s="3"/>
      <c r="V86" s="3"/>
      <c r="W86" s="3"/>
    </row>
    <row r="87" spans="2:23">
      <c r="B87" s="3" t="str">
        <f t="shared" si="6"/>
        <v>Nov</v>
      </c>
      <c r="C87" s="3">
        <f t="shared" si="7"/>
        <v>47</v>
      </c>
      <c r="D87" s="4">
        <v>46344</v>
      </c>
      <c r="E87" s="3"/>
      <c r="F87" s="3"/>
      <c r="G87" s="3"/>
      <c r="H87" s="20">
        <f>+J87+L87+N87</f>
        <v>0</v>
      </c>
      <c r="I87" s="23">
        <f>+K87+M87+O87</f>
        <v>0</v>
      </c>
      <c r="J87" s="6"/>
      <c r="K87" s="3"/>
      <c r="L87" s="7"/>
      <c r="M87" s="6"/>
      <c r="N87" s="3"/>
      <c r="O87" s="7"/>
      <c r="P87" s="3"/>
      <c r="Q87" s="3"/>
      <c r="R87" s="21" t="e">
        <f>+Q87/P87</f>
        <v>#DIV/0!</v>
      </c>
      <c r="S87" s="3"/>
      <c r="T87" s="3"/>
      <c r="U87" s="3"/>
      <c r="V87" s="3"/>
      <c r="W87" s="3"/>
    </row>
    <row r="88" spans="2:23">
      <c r="B88" s="3" t="str">
        <f t="shared" si="6"/>
        <v>Nov</v>
      </c>
      <c r="C88" s="3">
        <f t="shared" si="7"/>
        <v>47</v>
      </c>
      <c r="D88" s="4">
        <v>46345</v>
      </c>
      <c r="E88" s="3"/>
      <c r="F88" s="3"/>
      <c r="G88" s="3"/>
      <c r="H88" s="20">
        <f>+J88+L88+N88</f>
        <v>0</v>
      </c>
      <c r="I88" s="23">
        <f>+K88+M88+O88</f>
        <v>0</v>
      </c>
      <c r="J88" s="6"/>
      <c r="K88" s="3"/>
      <c r="L88" s="7"/>
      <c r="M88" s="6"/>
      <c r="N88" s="3"/>
      <c r="O88" s="7"/>
      <c r="P88" s="3"/>
      <c r="Q88" s="3"/>
      <c r="R88" s="21" t="e">
        <f>+Q88/P88</f>
        <v>#DIV/0!</v>
      </c>
      <c r="S88" s="3"/>
      <c r="T88" s="3"/>
      <c r="U88" s="3"/>
      <c r="V88" s="3"/>
      <c r="W88" s="3"/>
    </row>
    <row r="89" spans="2:23">
      <c r="B89" s="3" t="str">
        <f t="shared" si="6"/>
        <v>Nov</v>
      </c>
      <c r="C89" s="3">
        <f t="shared" si="7"/>
        <v>47</v>
      </c>
      <c r="D89" s="4">
        <v>46346</v>
      </c>
      <c r="E89" s="3"/>
      <c r="F89" s="3"/>
      <c r="G89" s="3"/>
      <c r="H89" s="20">
        <f>+J89+L89+N89</f>
        <v>0</v>
      </c>
      <c r="I89" s="23">
        <f>+K89+M89+O89</f>
        <v>0</v>
      </c>
      <c r="J89" s="6"/>
      <c r="K89" s="3"/>
      <c r="L89" s="7"/>
      <c r="M89" s="6"/>
      <c r="N89" s="3"/>
      <c r="O89" s="7"/>
      <c r="P89" s="3"/>
      <c r="Q89" s="3"/>
      <c r="R89" s="21" t="e">
        <f>+Q89/P89</f>
        <v>#DIV/0!</v>
      </c>
      <c r="S89" s="3"/>
      <c r="T89" s="3"/>
      <c r="U89" s="3"/>
      <c r="V89" s="3"/>
      <c r="W89" s="3"/>
    </row>
    <row r="90" spans="2:23">
      <c r="B90" s="3" t="str">
        <f t="shared" si="6"/>
        <v>Nov</v>
      </c>
      <c r="C90" s="3">
        <f t="shared" si="7"/>
        <v>47</v>
      </c>
      <c r="D90" s="4">
        <v>46347</v>
      </c>
      <c r="E90" s="3"/>
      <c r="F90" s="3"/>
      <c r="G90" s="3"/>
      <c r="H90" s="20">
        <f>+J90+L90+N90</f>
        <v>0</v>
      </c>
      <c r="I90" s="23">
        <f>+K90+M90+O90</f>
        <v>0</v>
      </c>
      <c r="J90" s="6"/>
      <c r="K90" s="3"/>
      <c r="L90" s="7"/>
      <c r="M90" s="6"/>
      <c r="N90" s="3"/>
      <c r="O90" s="7"/>
      <c r="P90" s="3"/>
      <c r="Q90" s="3"/>
      <c r="R90" s="21" t="e">
        <f>+Q90/P90</f>
        <v>#DIV/0!</v>
      </c>
      <c r="S90" s="3"/>
      <c r="T90" s="3"/>
      <c r="U90" s="3"/>
      <c r="V90" s="3"/>
      <c r="W90" s="3"/>
    </row>
    <row r="91" spans="2:23">
      <c r="B91" s="3" t="str">
        <f t="shared" si="6"/>
        <v>Nov</v>
      </c>
      <c r="C91" s="3">
        <f t="shared" si="7"/>
        <v>48</v>
      </c>
      <c r="D91" s="4">
        <v>46348</v>
      </c>
      <c r="E91" s="3"/>
      <c r="F91" s="3"/>
      <c r="G91" s="3"/>
      <c r="H91" s="20">
        <f>+J91+L91+N91</f>
        <v>0</v>
      </c>
      <c r="I91" s="23">
        <f>+K91+M91+O91</f>
        <v>0</v>
      </c>
      <c r="J91" s="6"/>
      <c r="K91" s="3"/>
      <c r="L91" s="7"/>
      <c r="M91" s="6"/>
      <c r="N91" s="3"/>
      <c r="O91" s="7"/>
      <c r="P91" s="3"/>
      <c r="Q91" s="3"/>
      <c r="R91" s="21" t="e">
        <f>+Q91/P91</f>
        <v>#DIV/0!</v>
      </c>
      <c r="S91" s="3"/>
      <c r="T91" s="3"/>
      <c r="U91" s="3"/>
      <c r="V91" s="3"/>
      <c r="W91" s="3"/>
    </row>
    <row r="92" spans="2:23">
      <c r="B92" s="3" t="str">
        <f t="shared" si="6"/>
        <v>Nov</v>
      </c>
      <c r="C92" s="3">
        <f t="shared" si="7"/>
        <v>48</v>
      </c>
      <c r="D92" s="4">
        <v>46349</v>
      </c>
      <c r="E92" s="3"/>
      <c r="F92" s="3"/>
      <c r="G92" s="3"/>
      <c r="H92" s="20">
        <f>+J92+L92+N92</f>
        <v>0</v>
      </c>
      <c r="I92" s="23">
        <f>+K92+M92+O92</f>
        <v>0</v>
      </c>
      <c r="J92" s="6"/>
      <c r="K92" s="3"/>
      <c r="L92" s="7"/>
      <c r="M92" s="6"/>
      <c r="N92" s="3"/>
      <c r="O92" s="7"/>
      <c r="P92" s="3"/>
      <c r="Q92" s="3"/>
      <c r="R92" s="21" t="e">
        <f>+Q92/P92</f>
        <v>#DIV/0!</v>
      </c>
      <c r="S92" s="3"/>
      <c r="T92" s="3"/>
      <c r="U92" s="3"/>
      <c r="V92" s="3"/>
      <c r="W92" s="3"/>
    </row>
    <row r="93" spans="2:23">
      <c r="B93" s="3" t="str">
        <f t="shared" si="6"/>
        <v>Nov</v>
      </c>
      <c r="C93" s="3">
        <f t="shared" si="7"/>
        <v>48</v>
      </c>
      <c r="D93" s="4">
        <v>46350</v>
      </c>
      <c r="E93" s="3"/>
      <c r="F93" s="3"/>
      <c r="G93" s="3"/>
      <c r="H93" s="20">
        <f>+J93+L93+N93</f>
        <v>0</v>
      </c>
      <c r="I93" s="23">
        <f>+K93+M93+O93</f>
        <v>0</v>
      </c>
      <c r="J93" s="6"/>
      <c r="K93" s="3"/>
      <c r="L93" s="7"/>
      <c r="M93" s="6"/>
      <c r="N93" s="3"/>
      <c r="O93" s="7"/>
      <c r="P93" s="3"/>
      <c r="Q93" s="3"/>
      <c r="R93" s="21" t="e">
        <f>+Q93/P93</f>
        <v>#DIV/0!</v>
      </c>
      <c r="S93" s="3"/>
      <c r="T93" s="3"/>
      <c r="U93" s="3"/>
      <c r="V93" s="3"/>
      <c r="W93" s="3"/>
    </row>
    <row r="94" spans="2:23">
      <c r="B94" s="3" t="str">
        <f t="shared" si="6"/>
        <v>Nov</v>
      </c>
      <c r="C94" s="3">
        <f t="shared" si="7"/>
        <v>48</v>
      </c>
      <c r="D94" s="4">
        <v>46351</v>
      </c>
      <c r="E94" s="3"/>
      <c r="F94" s="3"/>
      <c r="G94" s="3"/>
      <c r="H94" s="20">
        <f>+J94+L94+N94</f>
        <v>0</v>
      </c>
      <c r="I94" s="23">
        <f>+K94+M94+O94</f>
        <v>0</v>
      </c>
      <c r="J94" s="6"/>
      <c r="K94" s="3"/>
      <c r="L94" s="7"/>
      <c r="M94" s="6"/>
      <c r="N94" s="3"/>
      <c r="O94" s="7"/>
      <c r="P94" s="3"/>
      <c r="Q94" s="3"/>
      <c r="R94" s="21" t="e">
        <f>+Q94/P94</f>
        <v>#DIV/0!</v>
      </c>
      <c r="S94" s="3"/>
      <c r="T94" s="3"/>
      <c r="U94" s="3"/>
      <c r="V94" s="3"/>
      <c r="W94" s="3"/>
    </row>
    <row r="95" spans="2:23">
      <c r="B95" s="3" t="str">
        <f t="shared" si="6"/>
        <v>Nov</v>
      </c>
      <c r="C95" s="3">
        <f t="shared" si="7"/>
        <v>48</v>
      </c>
      <c r="D95" s="4">
        <v>46352</v>
      </c>
      <c r="E95" s="3"/>
      <c r="F95" s="3"/>
      <c r="G95" s="3"/>
      <c r="H95" s="20">
        <f>+J95+L95+N95</f>
        <v>0</v>
      </c>
      <c r="I95" s="23">
        <f>+K95+M95+O95</f>
        <v>0</v>
      </c>
      <c r="J95" s="6"/>
      <c r="K95" s="3"/>
      <c r="L95" s="7"/>
      <c r="M95" s="6"/>
      <c r="N95" s="3"/>
      <c r="O95" s="7"/>
      <c r="P95" s="3"/>
      <c r="Q95" s="3"/>
      <c r="R95" s="21" t="e">
        <f>+Q95/P95</f>
        <v>#DIV/0!</v>
      </c>
      <c r="S95" s="3"/>
      <c r="T95" s="3"/>
      <c r="U95" s="3"/>
      <c r="V95" s="3"/>
      <c r="W95" s="3"/>
    </row>
    <row r="96" spans="2:23">
      <c r="B96" s="3" t="str">
        <f t="shared" si="6"/>
        <v>Nov</v>
      </c>
      <c r="C96" s="3">
        <f t="shared" si="7"/>
        <v>48</v>
      </c>
      <c r="D96" s="4">
        <v>46353</v>
      </c>
      <c r="E96" s="3"/>
      <c r="F96" s="3"/>
      <c r="G96" s="3"/>
      <c r="H96" s="20">
        <f>+J96+L96+N96</f>
        <v>0</v>
      </c>
      <c r="I96" s="23">
        <f>+K96+M96+O96</f>
        <v>0</v>
      </c>
      <c r="J96" s="6"/>
      <c r="K96" s="3"/>
      <c r="L96" s="7"/>
      <c r="M96" s="6"/>
      <c r="N96" s="3"/>
      <c r="O96" s="7"/>
      <c r="P96" s="3"/>
      <c r="Q96" s="3"/>
      <c r="R96" s="21" t="e">
        <f>+Q96/P96</f>
        <v>#DIV/0!</v>
      </c>
      <c r="S96" s="3"/>
      <c r="T96" s="3"/>
      <c r="U96" s="3"/>
      <c r="V96" s="3"/>
      <c r="W96" s="3"/>
    </row>
    <row r="97" spans="2:23">
      <c r="B97" s="3" t="str">
        <f t="shared" si="6"/>
        <v>Nov</v>
      </c>
      <c r="C97" s="3">
        <f t="shared" si="7"/>
        <v>48</v>
      </c>
      <c r="D97" s="4">
        <v>46354</v>
      </c>
      <c r="E97" s="3"/>
      <c r="F97" s="3"/>
      <c r="G97" s="3"/>
      <c r="H97" s="20">
        <f>+J97+L97+N97</f>
        <v>0</v>
      </c>
      <c r="I97" s="23">
        <f>+K97+M97+O97</f>
        <v>0</v>
      </c>
      <c r="J97" s="6"/>
      <c r="K97" s="3"/>
      <c r="L97" s="7"/>
      <c r="M97" s="6"/>
      <c r="N97" s="3"/>
      <c r="O97" s="7"/>
      <c r="P97" s="3"/>
      <c r="Q97" s="3"/>
      <c r="R97" s="21" t="e">
        <f>+Q97/P97</f>
        <v>#DIV/0!</v>
      </c>
      <c r="S97" s="3"/>
      <c r="T97" s="3"/>
      <c r="U97" s="3"/>
      <c r="V97" s="3"/>
      <c r="W97" s="3"/>
    </row>
    <row r="98" spans="2:23">
      <c r="B98" s="3" t="str">
        <f t="shared" si="6"/>
        <v>Nov</v>
      </c>
      <c r="C98" s="3">
        <f t="shared" si="7"/>
        <v>49</v>
      </c>
      <c r="D98" s="4">
        <v>46355</v>
      </c>
      <c r="E98" s="3"/>
      <c r="F98" s="3"/>
      <c r="G98" s="3"/>
      <c r="H98" s="20">
        <f>+J98+L98+N98</f>
        <v>0</v>
      </c>
      <c r="I98" s="23">
        <f>+K98+M98+O98</f>
        <v>0</v>
      </c>
      <c r="J98" s="6"/>
      <c r="K98" s="3"/>
      <c r="L98" s="7"/>
      <c r="M98" s="6"/>
      <c r="N98" s="3"/>
      <c r="O98" s="7"/>
      <c r="P98" s="3"/>
      <c r="Q98" s="3"/>
      <c r="R98" s="21" t="e">
        <f>+Q98/P98</f>
        <v>#DIV/0!</v>
      </c>
      <c r="S98" s="3"/>
      <c r="T98" s="3"/>
      <c r="U98" s="3"/>
      <c r="V98" s="3"/>
      <c r="W98" s="3"/>
    </row>
    <row r="99" spans="2:23">
      <c r="B99" s="3" t="str">
        <f t="shared" si="6"/>
        <v>Nov</v>
      </c>
      <c r="C99" s="3">
        <f t="shared" si="7"/>
        <v>49</v>
      </c>
      <c r="D99" s="4">
        <v>46356</v>
      </c>
      <c r="E99" s="3"/>
      <c r="F99" s="3"/>
      <c r="G99" s="3"/>
      <c r="H99" s="20">
        <f>+J99+L99+N99</f>
        <v>0</v>
      </c>
      <c r="I99" s="23">
        <f>+K99+M99+O99</f>
        <v>0</v>
      </c>
      <c r="J99" s="6"/>
      <c r="K99" s="3"/>
      <c r="L99" s="7"/>
      <c r="M99" s="6"/>
      <c r="N99" s="3"/>
      <c r="O99" s="7"/>
      <c r="P99" s="3"/>
      <c r="Q99" s="3"/>
      <c r="R99" s="21" t="e">
        <f>+Q99/P99</f>
        <v>#DIV/0!</v>
      </c>
      <c r="S99" s="3"/>
      <c r="T99" s="3"/>
      <c r="U99" s="3"/>
      <c r="V99" s="3"/>
      <c r="W99" s="3"/>
    </row>
    <row r="100" spans="2:23">
      <c r="B100" s="3" t="str">
        <f t="shared" si="6"/>
        <v>Dec</v>
      </c>
      <c r="C100" s="3">
        <f t="shared" si="7"/>
        <v>49</v>
      </c>
      <c r="D100" s="4">
        <v>46357</v>
      </c>
      <c r="E100" s="3"/>
      <c r="F100" s="3"/>
      <c r="G100" s="3"/>
      <c r="H100" s="20">
        <f>+J100+L100+N100</f>
        <v>0</v>
      </c>
      <c r="I100" s="23">
        <f>+K100+M100+O100</f>
        <v>0</v>
      </c>
      <c r="J100" s="6"/>
      <c r="K100" s="3"/>
      <c r="L100" s="7"/>
      <c r="M100" s="6"/>
      <c r="N100" s="3"/>
      <c r="O100" s="7"/>
      <c r="P100" s="3"/>
      <c r="Q100" s="3"/>
      <c r="R100" s="21" t="e">
        <f>+Q100/P100</f>
        <v>#DIV/0!</v>
      </c>
      <c r="S100" s="3"/>
      <c r="T100" s="3"/>
      <c r="U100" s="3"/>
      <c r="V100" s="3"/>
      <c r="W100" s="3"/>
    </row>
    <row r="101" spans="2:23">
      <c r="B101" s="3" t="str">
        <f t="shared" si="6"/>
        <v>Dec</v>
      </c>
      <c r="C101" s="3">
        <f t="shared" si="7"/>
        <v>49</v>
      </c>
      <c r="D101" s="4">
        <v>46358</v>
      </c>
      <c r="E101" s="3"/>
      <c r="F101" s="3"/>
      <c r="G101" s="3"/>
      <c r="H101" s="20">
        <f>+J101+L101+N101</f>
        <v>0</v>
      </c>
      <c r="I101" s="23">
        <f>+K101+M101+O101</f>
        <v>0</v>
      </c>
      <c r="J101" s="6"/>
      <c r="K101" s="3"/>
      <c r="L101" s="7"/>
      <c r="M101" s="6"/>
      <c r="N101" s="3"/>
      <c r="O101" s="7"/>
      <c r="P101" s="3"/>
      <c r="Q101" s="3"/>
      <c r="R101" s="21" t="e">
        <f>+Q101/P101</f>
        <v>#DIV/0!</v>
      </c>
      <c r="S101" s="3"/>
      <c r="T101" s="3"/>
      <c r="U101" s="3"/>
      <c r="V101" s="3"/>
      <c r="W101" s="3"/>
    </row>
    <row r="102" spans="2:23">
      <c r="B102" s="3" t="str">
        <f t="shared" si="6"/>
        <v>Dec</v>
      </c>
      <c r="C102" s="3">
        <f t="shared" si="7"/>
        <v>49</v>
      </c>
      <c r="D102" s="4">
        <v>46359</v>
      </c>
      <c r="E102" s="3"/>
      <c r="F102" s="3"/>
      <c r="G102" s="3"/>
      <c r="H102" s="20">
        <f>+J102+L102+N102</f>
        <v>0</v>
      </c>
      <c r="I102" s="23">
        <f>+K102+M102+O102</f>
        <v>0</v>
      </c>
      <c r="J102" s="6"/>
      <c r="K102" s="3"/>
      <c r="L102" s="7"/>
      <c r="M102" s="6"/>
      <c r="N102" s="3"/>
      <c r="O102" s="7"/>
      <c r="P102" s="3"/>
      <c r="Q102" s="3"/>
      <c r="R102" s="21" t="e">
        <f>+Q102/P102</f>
        <v>#DIV/0!</v>
      </c>
      <c r="S102" s="3"/>
      <c r="T102" s="3"/>
      <c r="U102" s="3"/>
      <c r="V102" s="3"/>
      <c r="W102" s="3"/>
    </row>
    <row r="103" spans="2:23">
      <c r="B103" s="3" t="str">
        <f t="shared" si="6"/>
        <v>Dec</v>
      </c>
      <c r="C103" s="3">
        <f t="shared" si="7"/>
        <v>49</v>
      </c>
      <c r="D103" s="4">
        <v>46360</v>
      </c>
      <c r="E103" s="3"/>
      <c r="F103" s="3"/>
      <c r="G103" s="3"/>
      <c r="H103" s="20">
        <f>+J103+L103+N103</f>
        <v>0</v>
      </c>
      <c r="I103" s="23">
        <f>+K103+M103+O103</f>
        <v>0</v>
      </c>
      <c r="J103" s="6"/>
      <c r="K103" s="3"/>
      <c r="L103" s="7"/>
      <c r="M103" s="6"/>
      <c r="N103" s="3"/>
      <c r="O103" s="7"/>
      <c r="P103" s="3"/>
      <c r="Q103" s="3"/>
      <c r="R103" s="21" t="e">
        <f>+Q103/P103</f>
        <v>#DIV/0!</v>
      </c>
      <c r="S103" s="3"/>
      <c r="T103" s="3"/>
      <c r="U103" s="3"/>
      <c r="V103" s="3"/>
      <c r="W103" s="3"/>
    </row>
    <row r="104" spans="2:23">
      <c r="B104" s="3" t="str">
        <f t="shared" si="6"/>
        <v>Dec</v>
      </c>
      <c r="C104" s="3">
        <f t="shared" si="7"/>
        <v>49</v>
      </c>
      <c r="D104" s="4">
        <v>46361</v>
      </c>
      <c r="E104" s="3"/>
      <c r="F104" s="3"/>
      <c r="G104" s="3"/>
      <c r="H104" s="20">
        <f>+J104+L104+N104</f>
        <v>0</v>
      </c>
      <c r="I104" s="23">
        <f>+K104+M104+O104</f>
        <v>0</v>
      </c>
      <c r="J104" s="6"/>
      <c r="K104" s="3"/>
      <c r="L104" s="7"/>
      <c r="M104" s="6"/>
      <c r="N104" s="3"/>
      <c r="O104" s="7"/>
      <c r="P104" s="3"/>
      <c r="Q104" s="3"/>
      <c r="R104" s="21" t="e">
        <f>+Q104/P104</f>
        <v>#DIV/0!</v>
      </c>
      <c r="S104" s="3"/>
      <c r="T104" s="3"/>
      <c r="U104" s="3"/>
      <c r="V104" s="3"/>
      <c r="W104" s="3"/>
    </row>
    <row r="105" spans="2:23">
      <c r="B105" s="3" t="str">
        <f t="shared" si="6"/>
        <v>Dec</v>
      </c>
      <c r="C105" s="3">
        <f t="shared" si="7"/>
        <v>50</v>
      </c>
      <c r="D105" s="4">
        <v>46362</v>
      </c>
      <c r="E105" s="3"/>
      <c r="F105" s="3"/>
      <c r="G105" s="3"/>
      <c r="H105" s="20">
        <f>+J105+L105+N105</f>
        <v>0</v>
      </c>
      <c r="I105" s="23">
        <f>+K105+M105+O105</f>
        <v>0</v>
      </c>
      <c r="J105" s="6"/>
      <c r="K105" s="3"/>
      <c r="L105" s="7"/>
      <c r="M105" s="6"/>
      <c r="N105" s="3"/>
      <c r="O105" s="7"/>
      <c r="P105" s="3"/>
      <c r="Q105" s="3"/>
      <c r="R105" s="21" t="e">
        <f>+Q105/P105</f>
        <v>#DIV/0!</v>
      </c>
      <c r="S105" s="3"/>
      <c r="T105" s="3"/>
      <c r="U105" s="3"/>
      <c r="V105" s="3"/>
      <c r="W105" s="3"/>
    </row>
    <row r="106" spans="2:23">
      <c r="B106" s="3" t="str">
        <f t="shared" si="6"/>
        <v>Dec</v>
      </c>
      <c r="C106" s="3">
        <f t="shared" si="7"/>
        <v>50</v>
      </c>
      <c r="D106" s="4">
        <v>46363</v>
      </c>
      <c r="E106" s="3"/>
      <c r="F106" s="3"/>
      <c r="G106" s="3"/>
      <c r="H106" s="20">
        <f>+J106+L106+N106</f>
        <v>0</v>
      </c>
      <c r="I106" s="23">
        <f>+K106+M106+O106</f>
        <v>0</v>
      </c>
      <c r="J106" s="6"/>
      <c r="K106" s="3"/>
      <c r="L106" s="7"/>
      <c r="M106" s="6"/>
      <c r="N106" s="3"/>
      <c r="O106" s="7"/>
      <c r="P106" s="3"/>
      <c r="Q106" s="3"/>
      <c r="R106" s="21" t="e">
        <f>+Q106/P106</f>
        <v>#DIV/0!</v>
      </c>
      <c r="S106" s="3"/>
      <c r="T106" s="3"/>
      <c r="U106" s="3"/>
      <c r="V106" s="3"/>
      <c r="W106" s="3"/>
    </row>
    <row r="107" spans="2:23">
      <c r="B107" s="3" t="str">
        <f t="shared" si="6"/>
        <v>Dec</v>
      </c>
      <c r="C107" s="3">
        <f t="shared" si="7"/>
        <v>50</v>
      </c>
      <c r="D107" s="4">
        <v>46364</v>
      </c>
      <c r="E107" s="3"/>
      <c r="F107" s="3"/>
      <c r="G107" s="3"/>
      <c r="H107" s="20">
        <f>+J107+L107+N107</f>
        <v>0</v>
      </c>
      <c r="I107" s="23">
        <f>+K107+M107+O107</f>
        <v>0</v>
      </c>
      <c r="J107" s="6"/>
      <c r="K107" s="3"/>
      <c r="L107" s="7"/>
      <c r="M107" s="6"/>
      <c r="N107" s="3"/>
      <c r="O107" s="7"/>
      <c r="P107" s="3"/>
      <c r="Q107" s="3"/>
      <c r="R107" s="21" t="e">
        <f>+Q107/P107</f>
        <v>#DIV/0!</v>
      </c>
      <c r="S107" s="3"/>
      <c r="T107" s="3"/>
      <c r="U107" s="3"/>
      <c r="V107" s="3"/>
      <c r="W107" s="3"/>
    </row>
    <row r="108" spans="2:23">
      <c r="B108" s="3" t="str">
        <f t="shared" si="6"/>
        <v>Dec</v>
      </c>
      <c r="C108" s="3">
        <f t="shared" si="7"/>
        <v>50</v>
      </c>
      <c r="D108" s="4">
        <v>46365</v>
      </c>
      <c r="E108" s="3"/>
      <c r="F108" s="3"/>
      <c r="G108" s="3"/>
      <c r="H108" s="20">
        <f>+J108+L108+N108</f>
        <v>0</v>
      </c>
      <c r="I108" s="23">
        <f>+K108+M108+O108</f>
        <v>0</v>
      </c>
      <c r="J108" s="6"/>
      <c r="K108" s="3"/>
      <c r="L108" s="7"/>
      <c r="M108" s="6"/>
      <c r="N108" s="3"/>
      <c r="O108" s="7"/>
      <c r="P108" s="3"/>
      <c r="Q108" s="3"/>
      <c r="R108" s="21" t="e">
        <f>+Q108/P108</f>
        <v>#DIV/0!</v>
      </c>
      <c r="S108" s="3"/>
      <c r="T108" s="3"/>
      <c r="U108" s="3"/>
      <c r="V108" s="3"/>
      <c r="W108" s="3"/>
    </row>
    <row r="109" spans="2:23">
      <c r="B109" s="3" t="str">
        <f t="shared" si="6"/>
        <v>Dec</v>
      </c>
      <c r="C109" s="3">
        <f t="shared" si="7"/>
        <v>50</v>
      </c>
      <c r="D109" s="4">
        <v>46366</v>
      </c>
      <c r="E109" s="3"/>
      <c r="F109" s="3"/>
      <c r="G109" s="3"/>
      <c r="H109" s="20">
        <f>+J109+L109+N109</f>
        <v>0</v>
      </c>
      <c r="I109" s="23">
        <f>+K109+M109+O109</f>
        <v>0</v>
      </c>
      <c r="J109" s="6"/>
      <c r="K109" s="3"/>
      <c r="L109" s="7"/>
      <c r="M109" s="6"/>
      <c r="N109" s="3"/>
      <c r="O109" s="7"/>
      <c r="P109" s="3"/>
      <c r="Q109" s="3"/>
      <c r="R109" s="21" t="e">
        <f>+Q109/P109</f>
        <v>#DIV/0!</v>
      </c>
      <c r="S109" s="3"/>
      <c r="T109" s="3"/>
      <c r="U109" s="3"/>
      <c r="V109" s="3"/>
      <c r="W109" s="3"/>
    </row>
    <row r="110" spans="2:23">
      <c r="B110" s="3" t="str">
        <f t="shared" si="6"/>
        <v>Dec</v>
      </c>
      <c r="C110" s="3">
        <f t="shared" si="7"/>
        <v>50</v>
      </c>
      <c r="D110" s="4">
        <v>46367</v>
      </c>
      <c r="E110" s="3"/>
      <c r="F110" s="3"/>
      <c r="G110" s="3"/>
      <c r="H110" s="20">
        <f>+J110+L110+N110</f>
        <v>0</v>
      </c>
      <c r="I110" s="23">
        <f>+K110+M110+O110</f>
        <v>0</v>
      </c>
      <c r="J110" s="6"/>
      <c r="K110" s="3"/>
      <c r="L110" s="7"/>
      <c r="M110" s="6"/>
      <c r="N110" s="3"/>
      <c r="O110" s="7"/>
      <c r="P110" s="3"/>
      <c r="Q110" s="3"/>
      <c r="R110" s="21" t="e">
        <f>+Q110/P110</f>
        <v>#DIV/0!</v>
      </c>
      <c r="S110" s="3"/>
      <c r="T110" s="3"/>
      <c r="U110" s="3"/>
      <c r="V110" s="3"/>
      <c r="W110" s="3"/>
    </row>
    <row r="111" spans="2:23">
      <c r="B111" s="3" t="str">
        <f t="shared" si="6"/>
        <v>Dec</v>
      </c>
      <c r="C111" s="3">
        <f t="shared" si="7"/>
        <v>50</v>
      </c>
      <c r="D111" s="4">
        <v>46368</v>
      </c>
      <c r="E111" s="3"/>
      <c r="F111" s="3"/>
      <c r="G111" s="3"/>
      <c r="H111" s="20">
        <f>+J111+L111+N111</f>
        <v>0</v>
      </c>
      <c r="I111" s="23">
        <f>+K111+M111+O111</f>
        <v>0</v>
      </c>
      <c r="J111" s="6"/>
      <c r="K111" s="3"/>
      <c r="L111" s="7"/>
      <c r="M111" s="6"/>
      <c r="N111" s="3"/>
      <c r="O111" s="7"/>
      <c r="P111" s="3"/>
      <c r="Q111" s="3"/>
      <c r="R111" s="21" t="e">
        <f>+Q111/P111</f>
        <v>#DIV/0!</v>
      </c>
      <c r="S111" s="3"/>
      <c r="T111" s="3"/>
      <c r="U111" s="3"/>
      <c r="V111" s="3"/>
      <c r="W111" s="3"/>
    </row>
    <row r="112" spans="2:23">
      <c r="B112" s="3" t="str">
        <f t="shared" si="6"/>
        <v>Dec</v>
      </c>
      <c r="C112" s="3">
        <f t="shared" si="7"/>
        <v>51</v>
      </c>
      <c r="D112" s="4">
        <v>46369</v>
      </c>
      <c r="E112" s="3"/>
      <c r="F112" s="3"/>
      <c r="G112" s="3"/>
      <c r="H112" s="20">
        <f>+J112+L112+N112</f>
        <v>0</v>
      </c>
      <c r="I112" s="23">
        <f>+K112+M112+O112</f>
        <v>0</v>
      </c>
      <c r="J112" s="6"/>
      <c r="K112" s="3"/>
      <c r="L112" s="7"/>
      <c r="M112" s="6"/>
      <c r="N112" s="3"/>
      <c r="O112" s="7"/>
      <c r="P112" s="3"/>
      <c r="Q112" s="3"/>
      <c r="R112" s="21" t="e">
        <f>+Q112/P112</f>
        <v>#DIV/0!</v>
      </c>
      <c r="S112" s="3"/>
      <c r="T112" s="3"/>
      <c r="U112" s="3"/>
      <c r="V112" s="3"/>
      <c r="W112" s="3"/>
    </row>
    <row r="113" spans="2:23">
      <c r="B113" s="3" t="str">
        <f t="shared" si="6"/>
        <v>Dec</v>
      </c>
      <c r="C113" s="3">
        <f t="shared" si="7"/>
        <v>51</v>
      </c>
      <c r="D113" s="4">
        <v>46370</v>
      </c>
      <c r="E113" s="3"/>
      <c r="F113" s="3"/>
      <c r="G113" s="3"/>
      <c r="H113" s="20">
        <f>+J113+L113+N113</f>
        <v>0</v>
      </c>
      <c r="I113" s="23">
        <f>+K113+M113+O113</f>
        <v>0</v>
      </c>
      <c r="J113" s="6"/>
      <c r="K113" s="3"/>
      <c r="L113" s="7"/>
      <c r="M113" s="6"/>
      <c r="N113" s="3"/>
      <c r="O113" s="7"/>
      <c r="P113" s="3"/>
      <c r="Q113" s="3"/>
      <c r="R113" s="21" t="e">
        <f>+Q113/P113</f>
        <v>#DIV/0!</v>
      </c>
      <c r="S113" s="3"/>
      <c r="T113" s="3"/>
      <c r="U113" s="3"/>
      <c r="V113" s="3"/>
      <c r="W113" s="3"/>
    </row>
    <row r="114" spans="2:23">
      <c r="B114" s="3" t="str">
        <f t="shared" si="6"/>
        <v>Dec</v>
      </c>
      <c r="C114" s="3">
        <f t="shared" si="7"/>
        <v>51</v>
      </c>
      <c r="D114" s="4">
        <v>46371</v>
      </c>
      <c r="E114" s="3"/>
      <c r="F114" s="3"/>
      <c r="G114" s="3"/>
      <c r="H114" s="20">
        <f>+J114+L114+N114</f>
        <v>0</v>
      </c>
      <c r="I114" s="23">
        <f>+K114+M114+O114</f>
        <v>0</v>
      </c>
      <c r="J114" s="6"/>
      <c r="K114" s="3"/>
      <c r="L114" s="7"/>
      <c r="M114" s="6"/>
      <c r="N114" s="3"/>
      <c r="O114" s="7"/>
      <c r="P114" s="3"/>
      <c r="Q114" s="3"/>
      <c r="R114" s="21" t="e">
        <f>+Q114/P114</f>
        <v>#DIV/0!</v>
      </c>
      <c r="S114" s="3"/>
      <c r="T114" s="3"/>
      <c r="U114" s="3"/>
      <c r="V114" s="3"/>
      <c r="W114" s="3"/>
    </row>
    <row r="115" spans="2:23">
      <c r="B115" s="3" t="str">
        <f t="shared" si="6"/>
        <v>Dec</v>
      </c>
      <c r="C115" s="3">
        <f t="shared" si="7"/>
        <v>51</v>
      </c>
      <c r="D115" s="4">
        <v>46372</v>
      </c>
      <c r="E115" s="3"/>
      <c r="F115" s="3"/>
      <c r="G115" s="3"/>
      <c r="H115" s="20">
        <f>+J115+L115+N115</f>
        <v>0</v>
      </c>
      <c r="I115" s="23">
        <f>+K115+M115+O115</f>
        <v>0</v>
      </c>
      <c r="J115" s="6"/>
      <c r="K115" s="3"/>
      <c r="L115" s="7"/>
      <c r="M115" s="6"/>
      <c r="N115" s="3"/>
      <c r="O115" s="7"/>
      <c r="P115" s="3"/>
      <c r="Q115" s="3"/>
      <c r="R115" s="21" t="e">
        <f>+Q115/P115</f>
        <v>#DIV/0!</v>
      </c>
      <c r="S115" s="3"/>
      <c r="T115" s="3"/>
      <c r="U115" s="3"/>
      <c r="V115" s="3"/>
      <c r="W115" s="3"/>
    </row>
    <row r="116" spans="2:23">
      <c r="B116" s="3" t="str">
        <f t="shared" si="6"/>
        <v>Dec</v>
      </c>
      <c r="C116" s="3">
        <f t="shared" si="7"/>
        <v>51</v>
      </c>
      <c r="D116" s="4">
        <v>46373</v>
      </c>
      <c r="E116" s="3"/>
      <c r="F116" s="3"/>
      <c r="G116" s="3"/>
      <c r="H116" s="20">
        <f>+J116+L116+N116</f>
        <v>0</v>
      </c>
      <c r="I116" s="23">
        <f>+K116+M116+O116</f>
        <v>0</v>
      </c>
      <c r="J116" s="6"/>
      <c r="K116" s="3"/>
      <c r="L116" s="7"/>
      <c r="M116" s="6"/>
      <c r="N116" s="3"/>
      <c r="O116" s="7"/>
      <c r="P116" s="3"/>
      <c r="Q116" s="3"/>
      <c r="R116" s="21" t="e">
        <f>+Q116/P116</f>
        <v>#DIV/0!</v>
      </c>
      <c r="S116" s="3"/>
      <c r="T116" s="3"/>
      <c r="U116" s="3"/>
      <c r="V116" s="3"/>
      <c r="W116" s="3"/>
    </row>
    <row r="117" spans="2:23">
      <c r="B117" s="3" t="str">
        <f t="shared" si="6"/>
        <v>Dec</v>
      </c>
      <c r="C117" s="3">
        <f t="shared" si="7"/>
        <v>51</v>
      </c>
      <c r="D117" s="4">
        <v>46374</v>
      </c>
      <c r="E117" s="3"/>
      <c r="F117" s="3"/>
      <c r="G117" s="3"/>
      <c r="H117" s="20">
        <f>+J117+L117+N117</f>
        <v>0</v>
      </c>
      <c r="I117" s="23">
        <f>+K117+M117+O117</f>
        <v>0</v>
      </c>
      <c r="J117" s="6"/>
      <c r="K117" s="3"/>
      <c r="L117" s="7"/>
      <c r="M117" s="6"/>
      <c r="N117" s="3"/>
      <c r="O117" s="7"/>
      <c r="P117" s="3"/>
      <c r="Q117" s="3"/>
      <c r="R117" s="21" t="e">
        <f>+Q117/P117</f>
        <v>#DIV/0!</v>
      </c>
      <c r="S117" s="3"/>
      <c r="T117" s="3"/>
      <c r="U117" s="3"/>
      <c r="V117" s="3"/>
      <c r="W117" s="3"/>
    </row>
    <row r="118" spans="2:23">
      <c r="B118" s="3" t="str">
        <f t="shared" si="6"/>
        <v>Dec</v>
      </c>
      <c r="C118" s="3">
        <f t="shared" si="7"/>
        <v>51</v>
      </c>
      <c r="D118" s="4">
        <v>46375</v>
      </c>
      <c r="E118" s="3"/>
      <c r="F118" s="3"/>
      <c r="G118" s="3"/>
      <c r="H118" s="20">
        <f>+J118+L118+N118</f>
        <v>0</v>
      </c>
      <c r="I118" s="23">
        <f>+K118+M118+O118</f>
        <v>0</v>
      </c>
      <c r="J118" s="6"/>
      <c r="K118" s="3"/>
      <c r="L118" s="7"/>
      <c r="M118" s="6"/>
      <c r="N118" s="3"/>
      <c r="O118" s="7"/>
      <c r="P118" s="3"/>
      <c r="Q118" s="3"/>
      <c r="R118" s="21" t="e">
        <f>+Q118/P118</f>
        <v>#DIV/0!</v>
      </c>
      <c r="S118" s="3"/>
      <c r="T118" s="3"/>
      <c r="U118" s="3"/>
      <c r="V118" s="3"/>
      <c r="W118" s="3"/>
    </row>
    <row r="119" spans="2:23">
      <c r="B119" s="3" t="str">
        <f t="shared" si="6"/>
        <v>Dec</v>
      </c>
      <c r="C119" s="3">
        <f t="shared" si="7"/>
        <v>52</v>
      </c>
      <c r="D119" s="4">
        <v>46376</v>
      </c>
      <c r="E119" s="3"/>
      <c r="F119" s="3"/>
      <c r="G119" s="3"/>
      <c r="H119" s="20">
        <f>+J119+L119+N119</f>
        <v>0</v>
      </c>
      <c r="I119" s="23">
        <f>+K119+M119+O119</f>
        <v>0</v>
      </c>
      <c r="J119" s="6"/>
      <c r="K119" s="3"/>
      <c r="L119" s="7"/>
      <c r="M119" s="6"/>
      <c r="N119" s="3"/>
      <c r="O119" s="7"/>
      <c r="P119" s="3"/>
      <c r="Q119" s="3"/>
      <c r="R119" s="21" t="e">
        <f>+Q119/P119</f>
        <v>#DIV/0!</v>
      </c>
      <c r="S119" s="3"/>
      <c r="T119" s="3"/>
      <c r="U119" s="3"/>
      <c r="V119" s="3"/>
      <c r="W119" s="3"/>
    </row>
    <row r="120" spans="2:23">
      <c r="B120" s="3" t="str">
        <f t="shared" si="6"/>
        <v>Dec</v>
      </c>
      <c r="C120" s="3">
        <f t="shared" si="7"/>
        <v>52</v>
      </c>
      <c r="D120" s="4">
        <v>46377</v>
      </c>
      <c r="E120" s="3"/>
      <c r="F120" s="3"/>
      <c r="G120" s="3"/>
      <c r="H120" s="20">
        <f>+J120+L120+N120</f>
        <v>0</v>
      </c>
      <c r="I120" s="23">
        <f>+K120+M120+O120</f>
        <v>0</v>
      </c>
      <c r="J120" s="6"/>
      <c r="K120" s="3"/>
      <c r="L120" s="7"/>
      <c r="M120" s="6"/>
      <c r="N120" s="3"/>
      <c r="O120" s="7"/>
      <c r="P120" s="3"/>
      <c r="Q120" s="3"/>
      <c r="R120" s="21" t="e">
        <f>+Q120/P120</f>
        <v>#DIV/0!</v>
      </c>
      <c r="S120" s="3"/>
      <c r="T120" s="3"/>
      <c r="U120" s="3"/>
      <c r="V120" s="3"/>
      <c r="W120" s="3"/>
    </row>
    <row r="121" spans="2:23">
      <c r="B121" s="3" t="str">
        <f t="shared" si="6"/>
        <v>Dec</v>
      </c>
      <c r="C121" s="3">
        <f t="shared" si="7"/>
        <v>52</v>
      </c>
      <c r="D121" s="4">
        <v>46378</v>
      </c>
      <c r="E121" s="3"/>
      <c r="F121" s="3"/>
      <c r="G121" s="3"/>
      <c r="H121" s="20">
        <f>+J121+L121+N121</f>
        <v>0</v>
      </c>
      <c r="I121" s="23">
        <f>+K121+M121+O121</f>
        <v>0</v>
      </c>
      <c r="J121" s="6"/>
      <c r="K121" s="3"/>
      <c r="L121" s="7"/>
      <c r="M121" s="6"/>
      <c r="N121" s="3"/>
      <c r="O121" s="7"/>
      <c r="P121" s="3"/>
      <c r="Q121" s="3"/>
      <c r="R121" s="21" t="e">
        <f>+Q121/P121</f>
        <v>#DIV/0!</v>
      </c>
      <c r="S121" s="3"/>
      <c r="T121" s="3"/>
      <c r="U121" s="3"/>
      <c r="V121" s="3"/>
      <c r="W121" s="3"/>
    </row>
    <row r="122" spans="2:23">
      <c r="B122" s="3" t="str">
        <f t="shared" si="6"/>
        <v>Dec</v>
      </c>
      <c r="C122" s="3">
        <f t="shared" si="7"/>
        <v>52</v>
      </c>
      <c r="D122" s="4">
        <v>46379</v>
      </c>
      <c r="E122" s="3"/>
      <c r="F122" s="3"/>
      <c r="G122" s="3"/>
      <c r="H122" s="20">
        <f>+J122+L122+N122</f>
        <v>0</v>
      </c>
      <c r="I122" s="23">
        <f>+K122+M122+O122</f>
        <v>0</v>
      </c>
      <c r="J122" s="6"/>
      <c r="K122" s="3"/>
      <c r="L122" s="7"/>
      <c r="M122" s="6"/>
      <c r="N122" s="3"/>
      <c r="O122" s="7"/>
      <c r="P122" s="3"/>
      <c r="Q122" s="3"/>
      <c r="R122" s="21" t="e">
        <f>+Q122/P122</f>
        <v>#DIV/0!</v>
      </c>
      <c r="S122" s="3"/>
      <c r="T122" s="3"/>
      <c r="U122" s="3"/>
      <c r="V122" s="3"/>
      <c r="W122" s="3"/>
    </row>
    <row r="123" spans="2:23">
      <c r="B123" s="3" t="str">
        <f t="shared" si="6"/>
        <v>Dec</v>
      </c>
      <c r="C123" s="3">
        <f t="shared" si="7"/>
        <v>52</v>
      </c>
      <c r="D123" s="4">
        <v>46380</v>
      </c>
      <c r="E123" s="3"/>
      <c r="F123" s="3"/>
      <c r="G123" s="3"/>
      <c r="H123" s="20">
        <f>+J123+L123+N123</f>
        <v>0</v>
      </c>
      <c r="I123" s="23">
        <f>+K123+M123+O123</f>
        <v>0</v>
      </c>
      <c r="J123" s="6"/>
      <c r="K123" s="3"/>
      <c r="L123" s="7"/>
      <c r="M123" s="6"/>
      <c r="N123" s="3"/>
      <c r="O123" s="7"/>
      <c r="P123" s="3"/>
      <c r="Q123" s="3"/>
      <c r="R123" s="21" t="e">
        <f>+Q123/P123</f>
        <v>#DIV/0!</v>
      </c>
      <c r="S123" s="3"/>
      <c r="T123" s="3"/>
      <c r="U123" s="3"/>
      <c r="V123" s="3"/>
      <c r="W123" s="3"/>
    </row>
    <row r="124" spans="2:23">
      <c r="B124" s="3" t="str">
        <f t="shared" si="6"/>
        <v>Dec</v>
      </c>
      <c r="C124" s="3">
        <f t="shared" si="7"/>
        <v>52</v>
      </c>
      <c r="D124" s="4">
        <v>46381</v>
      </c>
      <c r="E124" s="3"/>
      <c r="F124" s="3"/>
      <c r="G124" s="3"/>
      <c r="H124" s="20">
        <f>+J124+L124+N124</f>
        <v>0</v>
      </c>
      <c r="I124" s="23">
        <f>+K124+M124+O124</f>
        <v>0</v>
      </c>
      <c r="J124" s="6"/>
      <c r="K124" s="3"/>
      <c r="L124" s="7"/>
      <c r="M124" s="6"/>
      <c r="N124" s="3"/>
      <c r="O124" s="7"/>
      <c r="P124" s="3"/>
      <c r="Q124" s="3"/>
      <c r="R124" s="21" t="e">
        <f>+Q124/P124</f>
        <v>#DIV/0!</v>
      </c>
      <c r="S124" s="3"/>
      <c r="T124" s="3"/>
      <c r="U124" s="3"/>
      <c r="V124" s="3"/>
      <c r="W124" s="3"/>
    </row>
    <row r="125" spans="2:23">
      <c r="B125" s="3" t="str">
        <f t="shared" si="6"/>
        <v>Dec</v>
      </c>
      <c r="C125" s="3">
        <f t="shared" si="7"/>
        <v>52</v>
      </c>
      <c r="D125" s="4">
        <v>46382</v>
      </c>
      <c r="E125" s="3"/>
      <c r="F125" s="3"/>
      <c r="G125" s="3"/>
      <c r="H125" s="20">
        <f>+J125+L125+N125</f>
        <v>0</v>
      </c>
      <c r="I125" s="23">
        <f>+K125+M125+O125</f>
        <v>0</v>
      </c>
      <c r="J125" s="6"/>
      <c r="K125" s="3"/>
      <c r="L125" s="7"/>
      <c r="M125" s="6"/>
      <c r="N125" s="3"/>
      <c r="O125" s="7"/>
      <c r="P125" s="3"/>
      <c r="Q125" s="3"/>
      <c r="R125" s="21" t="e">
        <f>+Q125/P125</f>
        <v>#DIV/0!</v>
      </c>
      <c r="S125" s="3"/>
      <c r="T125" s="3"/>
      <c r="U125" s="3"/>
      <c r="V125" s="3"/>
      <c r="W125" s="3"/>
    </row>
    <row r="126" spans="2:23">
      <c r="B126" s="3" t="str">
        <f t="shared" si="6"/>
        <v>Dec</v>
      </c>
      <c r="C126" s="3">
        <f t="shared" si="7"/>
        <v>53</v>
      </c>
      <c r="D126" s="4">
        <v>46383</v>
      </c>
      <c r="E126" s="3"/>
      <c r="F126" s="3"/>
      <c r="G126" s="3"/>
      <c r="H126" s="20">
        <f>+J126+L126+N126</f>
        <v>0</v>
      </c>
      <c r="I126" s="23">
        <f>+K126+M126+O126</f>
        <v>0</v>
      </c>
      <c r="J126" s="6"/>
      <c r="K126" s="3"/>
      <c r="L126" s="7"/>
      <c r="M126" s="6"/>
      <c r="N126" s="3"/>
      <c r="O126" s="7"/>
      <c r="P126" s="3"/>
      <c r="Q126" s="3"/>
      <c r="R126" s="21" t="e">
        <f>+Q126/P126</f>
        <v>#DIV/0!</v>
      </c>
      <c r="S126" s="3"/>
      <c r="T126" s="3"/>
      <c r="U126" s="3"/>
      <c r="V126" s="3"/>
      <c r="W126" s="3"/>
    </row>
    <row r="127" spans="2:23">
      <c r="B127" s="3" t="str">
        <f t="shared" si="6"/>
        <v>Dec</v>
      </c>
      <c r="C127" s="3">
        <f t="shared" si="7"/>
        <v>53</v>
      </c>
      <c r="D127" s="4">
        <v>46384</v>
      </c>
      <c r="E127" s="3"/>
      <c r="F127" s="3"/>
      <c r="G127" s="3"/>
      <c r="H127" s="20">
        <f>+J127+L127+N127</f>
        <v>0</v>
      </c>
      <c r="I127" s="23">
        <f>+K127+M127+O127</f>
        <v>0</v>
      </c>
      <c r="J127" s="6"/>
      <c r="K127" s="3"/>
      <c r="L127" s="7"/>
      <c r="M127" s="6"/>
      <c r="N127" s="3"/>
      <c r="O127" s="7"/>
      <c r="P127" s="3"/>
      <c r="Q127" s="3"/>
      <c r="R127" s="21" t="e">
        <f>+Q127/P127</f>
        <v>#DIV/0!</v>
      </c>
      <c r="S127" s="3"/>
      <c r="T127" s="3"/>
      <c r="U127" s="3"/>
      <c r="V127" s="3"/>
      <c r="W127" s="3"/>
    </row>
    <row r="128" spans="2:23">
      <c r="B128" s="3" t="str">
        <f t="shared" si="6"/>
        <v>Dec</v>
      </c>
      <c r="C128" s="3">
        <f t="shared" si="7"/>
        <v>53</v>
      </c>
      <c r="D128" s="4">
        <v>46385</v>
      </c>
      <c r="E128" s="3"/>
      <c r="F128" s="3"/>
      <c r="G128" s="3"/>
      <c r="H128" s="20">
        <f>+J128+L128+N128</f>
        <v>0</v>
      </c>
      <c r="I128" s="23">
        <f>+K128+M128+O128</f>
        <v>0</v>
      </c>
      <c r="J128" s="6"/>
      <c r="K128" s="3"/>
      <c r="L128" s="7"/>
      <c r="M128" s="6"/>
      <c r="N128" s="3"/>
      <c r="O128" s="7"/>
      <c r="P128" s="3"/>
      <c r="Q128" s="3"/>
      <c r="R128" s="21" t="e">
        <f>+Q128/P128</f>
        <v>#DIV/0!</v>
      </c>
      <c r="S128" s="3"/>
      <c r="T128" s="3"/>
      <c r="U128" s="3"/>
      <c r="V128" s="3"/>
      <c r="W128" s="3"/>
    </row>
    <row r="129" spans="2:23">
      <c r="B129" s="3" t="str">
        <f t="shared" si="6"/>
        <v>Dec</v>
      </c>
      <c r="C129" s="3">
        <f t="shared" si="7"/>
        <v>53</v>
      </c>
      <c r="D129" s="4">
        <v>46386</v>
      </c>
      <c r="E129" s="3"/>
      <c r="F129" s="3"/>
      <c r="G129" s="3"/>
      <c r="H129" s="20">
        <f>+J129+L129+N129</f>
        <v>0</v>
      </c>
      <c r="I129" s="23">
        <f>+K129+M129+O129</f>
        <v>0</v>
      </c>
      <c r="J129" s="6"/>
      <c r="K129" s="3"/>
      <c r="L129" s="7"/>
      <c r="M129" s="6"/>
      <c r="N129" s="3"/>
      <c r="O129" s="7"/>
      <c r="P129" s="3"/>
      <c r="Q129" s="3"/>
      <c r="R129" s="21" t="e">
        <f>+Q129/P129</f>
        <v>#DIV/0!</v>
      </c>
      <c r="S129" s="3"/>
      <c r="T129" s="3"/>
      <c r="U129" s="3"/>
      <c r="V129" s="3"/>
      <c r="W129" s="3"/>
    </row>
    <row r="130" spans="2:23">
      <c r="B130" s="3" t="str">
        <f t="shared" si="6"/>
        <v>Dec</v>
      </c>
      <c r="C130" s="3">
        <f t="shared" si="7"/>
        <v>53</v>
      </c>
      <c r="D130" s="4">
        <v>46387</v>
      </c>
      <c r="E130" s="3"/>
      <c r="F130" s="3"/>
      <c r="G130" s="3"/>
      <c r="H130" s="20">
        <f>+J130+L130+N130</f>
        <v>0</v>
      </c>
      <c r="I130" s="23">
        <f>+K130+M130+O130</f>
        <v>0</v>
      </c>
      <c r="J130" s="6"/>
      <c r="K130" s="3"/>
      <c r="L130" s="7"/>
      <c r="M130" s="6"/>
      <c r="N130" s="3"/>
      <c r="O130" s="7"/>
      <c r="P130" s="3"/>
      <c r="Q130" s="3"/>
      <c r="R130" s="21" t="e">
        <f>+Q130/P130</f>
        <v>#DIV/0!</v>
      </c>
      <c r="S130" s="3"/>
      <c r="T130" s="3"/>
      <c r="U130" s="3"/>
      <c r="V130" s="3"/>
      <c r="W130" s="3"/>
    </row>
    <row r="131" spans="2:23" ht="15.75"/>
  </sheetData>
  <conditionalFormatting sqref="N3:N130">
    <cfRule type="cellIs" dxfId="7" priority="7" operator="lessThan">
      <formula>0</formula>
    </cfRule>
  </conditionalFormatting>
  <conditionalFormatting sqref="K54:K130">
    <cfRule type="cellIs" dxfId="6" priority="6" operator="lessThan">
      <formula>0</formula>
    </cfRule>
  </conditionalFormatting>
  <conditionalFormatting sqref="J4:J7">
    <cfRule type="cellIs" dxfId="5" priority="5" operator="lessThan">
      <formula>0</formula>
    </cfRule>
  </conditionalFormatting>
  <conditionalFormatting sqref="J8:J11">
    <cfRule type="cellIs" dxfId="4" priority="4" operator="lessThan">
      <formula>0</formula>
    </cfRule>
  </conditionalFormatting>
  <conditionalFormatting sqref="M12">
    <cfRule type="cellIs" dxfId="3" priority="3" operator="lessThan">
      <formula>0</formula>
    </cfRule>
  </conditionalFormatting>
  <conditionalFormatting sqref="J12">
    <cfRule type="cellIs" dxfId="2" priority="2" operator="lessThan">
      <formula>0</formula>
    </cfRule>
  </conditionalFormatting>
  <conditionalFormatting sqref="K13:K17">
    <cfRule type="cellIs" dxfId="1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A76A4-E016-154A-8C7D-E0EEF4FDB8E9}">
  <dimension ref="B2:R130"/>
  <sheetViews>
    <sheetView showGridLines="0" zoomScale="110" zoomScaleNormal="110" workbookViewId="0">
      <pane xSplit="4" ySplit="2" topLeftCell="E25" activePane="bottomRight" state="frozen"/>
      <selection pane="bottomRight" activeCell="E33" sqref="E33"/>
      <selection pane="bottomLeft" activeCell="A3" sqref="A3"/>
      <selection pane="topRight" activeCell="E1" sqref="E1"/>
    </sheetView>
  </sheetViews>
  <sheetFormatPr defaultColWidth="11" defaultRowHeight="16.5"/>
  <cols>
    <col min="1" max="1" width="4.5" customWidth="1"/>
    <col min="9" max="9" width="13.75" bestFit="1" customWidth="1"/>
    <col min="10" max="10" width="13" bestFit="1" customWidth="1"/>
    <col min="11" max="11" width="11.625" bestFit="1" customWidth="1"/>
    <col min="13" max="15" width="13" bestFit="1" customWidth="1"/>
    <col min="16" max="16" width="120" customWidth="1"/>
  </cols>
  <sheetData>
    <row r="2" spans="2:16" s="1" customFormat="1">
      <c r="B2" s="2" t="s">
        <v>0</v>
      </c>
      <c r="C2" s="2" t="s">
        <v>1</v>
      </c>
      <c r="D2" s="2" t="s">
        <v>2</v>
      </c>
      <c r="E2" s="2" t="s">
        <v>108</v>
      </c>
      <c r="F2" s="2" t="s">
        <v>109</v>
      </c>
      <c r="G2" s="2" t="s">
        <v>110</v>
      </c>
      <c r="H2" s="2" t="s">
        <v>111</v>
      </c>
      <c r="I2" s="2" t="s">
        <v>112</v>
      </c>
      <c r="J2" s="2" t="s">
        <v>6</v>
      </c>
      <c r="K2" s="2" t="s">
        <v>113</v>
      </c>
      <c r="L2" s="2" t="s">
        <v>114</v>
      </c>
      <c r="M2" s="2" t="s">
        <v>115</v>
      </c>
      <c r="N2" s="2" t="s">
        <v>116</v>
      </c>
      <c r="O2" s="2" t="s">
        <v>117</v>
      </c>
      <c r="P2" s="2" t="s">
        <v>118</v>
      </c>
    </row>
    <row r="3" spans="2:16">
      <c r="B3" s="3" t="str">
        <f>+TEXT(D3,"MMM")</f>
        <v>Aug</v>
      </c>
      <c r="C3" s="3">
        <f>+WEEKNUM(D3)</f>
        <v>35</v>
      </c>
      <c r="D3" s="4">
        <v>46260</v>
      </c>
      <c r="E3" s="3">
        <v>0</v>
      </c>
      <c r="F3" s="3">
        <v>0</v>
      </c>
      <c r="G3" s="21" t="e">
        <f>+(F3-E3)/E3</f>
        <v>#DIV/0!</v>
      </c>
      <c r="H3" s="20">
        <f>+E3-F3</f>
        <v>0</v>
      </c>
      <c r="I3" s="7">
        <v>0</v>
      </c>
      <c r="J3" s="3">
        <v>0</v>
      </c>
      <c r="K3" s="3">
        <v>0</v>
      </c>
      <c r="L3" s="16">
        <v>0</v>
      </c>
      <c r="M3" s="3">
        <v>0</v>
      </c>
      <c r="N3" s="3">
        <v>0</v>
      </c>
      <c r="O3" s="21" t="e">
        <f>1-(N3/M3)</f>
        <v>#DIV/0!</v>
      </c>
      <c r="P3" s="3">
        <v>0</v>
      </c>
    </row>
    <row r="4" spans="2:16">
      <c r="B4" s="3" t="str">
        <f t="shared" ref="B4:B6" si="0">+TEXT(D4,"MMM")</f>
        <v>Aug</v>
      </c>
      <c r="C4" s="3">
        <f t="shared" ref="C4:C67" si="1">+WEEKNUM(D4)</f>
        <v>35</v>
      </c>
      <c r="D4" s="4">
        <v>46261</v>
      </c>
      <c r="E4" s="3">
        <v>991</v>
      </c>
      <c r="F4" s="3">
        <v>991</v>
      </c>
      <c r="G4" s="21">
        <f>+(F4-E4)/E4</f>
        <v>0</v>
      </c>
      <c r="H4" s="20">
        <f>+E4-F4</f>
        <v>0</v>
      </c>
      <c r="I4" s="7">
        <v>3862739.79</v>
      </c>
      <c r="J4" s="3">
        <v>2</v>
      </c>
      <c r="K4" s="3">
        <v>2</v>
      </c>
      <c r="L4" s="16">
        <v>2469.04</v>
      </c>
      <c r="M4" s="3">
        <v>0</v>
      </c>
      <c r="N4" s="3">
        <v>0</v>
      </c>
      <c r="O4" s="21" t="e">
        <f>1-(N4/M4)</f>
        <v>#DIV/0!</v>
      </c>
      <c r="P4" s="3" t="s">
        <v>119</v>
      </c>
    </row>
    <row r="5" spans="2:16">
      <c r="B5" s="3" t="str">
        <f t="shared" si="0"/>
        <v>Aug</v>
      </c>
      <c r="C5" s="3">
        <f t="shared" si="1"/>
        <v>35</v>
      </c>
      <c r="D5" s="4">
        <v>46262</v>
      </c>
      <c r="E5" s="3">
        <v>987</v>
      </c>
      <c r="F5" s="3">
        <v>987</v>
      </c>
      <c r="G5" s="21">
        <f>+(F5-E5)/E5</f>
        <v>0</v>
      </c>
      <c r="H5" s="20">
        <f>+E5-F5</f>
        <v>0</v>
      </c>
      <c r="I5" s="7">
        <v>3892271.82</v>
      </c>
      <c r="J5" s="3">
        <v>1</v>
      </c>
      <c r="K5" s="3">
        <v>1</v>
      </c>
      <c r="L5" s="3">
        <v>149.07</v>
      </c>
      <c r="M5" s="3">
        <v>14</v>
      </c>
      <c r="N5" s="3"/>
      <c r="O5" s="21">
        <f>1-(N5/M5)</f>
        <v>1</v>
      </c>
      <c r="P5" s="3" t="s">
        <v>120</v>
      </c>
    </row>
    <row r="6" spans="2:16">
      <c r="B6" s="3" t="str">
        <f t="shared" si="0"/>
        <v>Aug</v>
      </c>
      <c r="C6" s="3">
        <f t="shared" si="1"/>
        <v>35</v>
      </c>
      <c r="D6" s="4">
        <v>46263</v>
      </c>
      <c r="E6" s="3">
        <v>987</v>
      </c>
      <c r="F6" s="3">
        <v>987</v>
      </c>
      <c r="G6" s="21">
        <f>+(F6-E6)/E6</f>
        <v>0</v>
      </c>
      <c r="H6" s="20">
        <f>+E6-F6</f>
        <v>0</v>
      </c>
      <c r="I6" s="7">
        <v>3892271.82</v>
      </c>
      <c r="J6" s="3">
        <v>1</v>
      </c>
      <c r="K6" s="3">
        <v>1</v>
      </c>
      <c r="L6" s="3"/>
      <c r="M6" s="3">
        <v>14</v>
      </c>
      <c r="N6" s="3"/>
      <c r="O6" s="21">
        <f>1-(N6/M6)</f>
        <v>1</v>
      </c>
      <c r="P6" s="3" t="s">
        <v>121</v>
      </c>
    </row>
    <row r="7" spans="2:16">
      <c r="B7" s="3" t="str">
        <f t="shared" ref="B7:B70" si="2">+TEXT(D7,"MMM")</f>
        <v>Aug</v>
      </c>
      <c r="C7" s="3">
        <f t="shared" si="1"/>
        <v>36</v>
      </c>
      <c r="D7" s="4">
        <v>46264</v>
      </c>
      <c r="E7" s="3">
        <v>987</v>
      </c>
      <c r="F7" s="3">
        <v>987</v>
      </c>
      <c r="G7" s="21">
        <f>+(F7-E7)/E7</f>
        <v>0</v>
      </c>
      <c r="H7" s="20">
        <f>+E7-F7</f>
        <v>0</v>
      </c>
      <c r="I7" s="7">
        <v>3892271.82</v>
      </c>
      <c r="J7" s="3">
        <v>1</v>
      </c>
      <c r="K7" s="3">
        <v>1</v>
      </c>
      <c r="L7" s="3"/>
      <c r="M7" s="3">
        <v>14</v>
      </c>
      <c r="N7" s="3"/>
      <c r="O7" s="21">
        <f>1-(N7/M7)</f>
        <v>1</v>
      </c>
      <c r="P7" s="3" t="s">
        <v>122</v>
      </c>
    </row>
    <row r="8" spans="2:16">
      <c r="B8" s="3" t="str">
        <f t="shared" si="2"/>
        <v>Aug</v>
      </c>
      <c r="C8" s="3">
        <f t="shared" si="1"/>
        <v>36</v>
      </c>
      <c r="D8" s="4">
        <v>46265</v>
      </c>
      <c r="E8" s="3">
        <v>990</v>
      </c>
      <c r="F8" s="3">
        <v>990</v>
      </c>
      <c r="G8" s="21">
        <f>+(F8-E8)/E8</f>
        <v>0</v>
      </c>
      <c r="H8" s="20">
        <v>5</v>
      </c>
      <c r="I8" s="7">
        <v>222306.28570000001</v>
      </c>
      <c r="J8" s="3">
        <v>0</v>
      </c>
      <c r="K8" s="3">
        <v>0</v>
      </c>
      <c r="L8" s="3">
        <v>0</v>
      </c>
      <c r="M8" s="3">
        <v>15</v>
      </c>
      <c r="N8" s="3"/>
      <c r="O8" s="21">
        <f>1-(N8/M8)</f>
        <v>1</v>
      </c>
      <c r="P8" s="3" t="s">
        <v>123</v>
      </c>
    </row>
    <row r="9" spans="2:16">
      <c r="B9" s="3" t="str">
        <f t="shared" si="2"/>
        <v>Sep</v>
      </c>
      <c r="C9" s="3">
        <f t="shared" si="1"/>
        <v>36</v>
      </c>
      <c r="D9" s="4">
        <v>46266</v>
      </c>
      <c r="E9" s="3">
        <v>990</v>
      </c>
      <c r="F9" s="3">
        <v>990</v>
      </c>
      <c r="G9" s="21">
        <f>+(F9-E9)/E9</f>
        <v>0</v>
      </c>
      <c r="H9" s="20">
        <v>6</v>
      </c>
      <c r="I9" s="7">
        <v>222190.23250000001</v>
      </c>
      <c r="J9" s="3">
        <v>0</v>
      </c>
      <c r="K9" s="3">
        <v>0</v>
      </c>
      <c r="L9" s="3">
        <v>0</v>
      </c>
      <c r="M9" s="3">
        <v>16</v>
      </c>
      <c r="N9" s="3"/>
      <c r="O9" s="21">
        <f>1-(N9/M9)</f>
        <v>1</v>
      </c>
      <c r="P9" s="3" t="s">
        <v>124</v>
      </c>
    </row>
    <row r="10" spans="2:16">
      <c r="B10" s="3" t="str">
        <f t="shared" si="2"/>
        <v>Sep</v>
      </c>
      <c r="C10" s="3">
        <f t="shared" si="1"/>
        <v>36</v>
      </c>
      <c r="D10" s="4">
        <v>46267</v>
      </c>
      <c r="E10" s="3">
        <v>950</v>
      </c>
      <c r="F10" s="3">
        <v>950</v>
      </c>
      <c r="G10" s="21">
        <f>+(F10-E10)/E10</f>
        <v>0</v>
      </c>
      <c r="H10" s="20">
        <v>5</v>
      </c>
      <c r="I10" s="7" t="s">
        <v>125</v>
      </c>
      <c r="J10" s="3">
        <v>0</v>
      </c>
      <c r="K10" s="3">
        <v>0</v>
      </c>
      <c r="L10" s="3">
        <v>0</v>
      </c>
      <c r="M10" s="3">
        <v>15</v>
      </c>
      <c r="N10" s="3"/>
      <c r="O10" s="21">
        <f>1-(N10/M10)</f>
        <v>1</v>
      </c>
      <c r="P10" s="3" t="s">
        <v>126</v>
      </c>
    </row>
    <row r="11" spans="2:16">
      <c r="B11" s="3" t="str">
        <f t="shared" si="2"/>
        <v>Sep</v>
      </c>
      <c r="C11" s="3">
        <f t="shared" si="1"/>
        <v>36</v>
      </c>
      <c r="D11" s="4">
        <v>46268</v>
      </c>
      <c r="E11" s="3">
        <v>946</v>
      </c>
      <c r="F11" s="3">
        <v>953</v>
      </c>
      <c r="G11" s="21">
        <f>+(F11-E11)/E11</f>
        <v>7.3995771670190271E-3</v>
      </c>
      <c r="H11" s="20">
        <v>7</v>
      </c>
      <c r="I11" s="7">
        <v>217188.52799999999</v>
      </c>
      <c r="J11" s="3">
        <v>0</v>
      </c>
      <c r="K11" s="3">
        <v>0</v>
      </c>
      <c r="L11" s="3">
        <v>0</v>
      </c>
      <c r="M11" s="3">
        <v>15</v>
      </c>
      <c r="N11" s="3"/>
      <c r="O11" s="21">
        <f>1-(N11/M11)</f>
        <v>1</v>
      </c>
      <c r="P11" s="3" t="s">
        <v>127</v>
      </c>
    </row>
    <row r="12" spans="2:16">
      <c r="B12" s="3" t="str">
        <f t="shared" si="2"/>
        <v>Sep</v>
      </c>
      <c r="C12" s="3">
        <f t="shared" si="1"/>
        <v>36</v>
      </c>
      <c r="D12" s="4">
        <v>46269</v>
      </c>
      <c r="E12" s="3">
        <v>944</v>
      </c>
      <c r="F12" s="3">
        <v>951</v>
      </c>
      <c r="G12" s="21">
        <f>+(F12-E12)/E12</f>
        <v>7.4152542372881358E-3</v>
      </c>
      <c r="H12" s="20">
        <f>+E12-F12</f>
        <v>-7</v>
      </c>
      <c r="I12" s="7">
        <v>212246.39079999999</v>
      </c>
      <c r="J12" s="3">
        <v>0</v>
      </c>
      <c r="K12" s="3">
        <v>0</v>
      </c>
      <c r="L12" s="3">
        <v>0</v>
      </c>
      <c r="M12" s="3">
        <v>15</v>
      </c>
      <c r="N12" s="3"/>
      <c r="O12" s="21">
        <f>1-(N12/M12)</f>
        <v>1</v>
      </c>
      <c r="P12" s="3" t="s">
        <v>128</v>
      </c>
    </row>
    <row r="13" spans="2:16">
      <c r="B13" s="3" t="str">
        <f t="shared" si="2"/>
        <v>Sep</v>
      </c>
      <c r="C13" s="3">
        <f t="shared" si="1"/>
        <v>36</v>
      </c>
      <c r="D13" s="4">
        <v>46270</v>
      </c>
      <c r="E13" s="3">
        <v>944</v>
      </c>
      <c r="F13" s="3">
        <v>951</v>
      </c>
      <c r="G13" s="21">
        <f>+(F13-E13)/E13</f>
        <v>7.4152542372881358E-3</v>
      </c>
      <c r="H13" s="20">
        <f>+E13-F13</f>
        <v>-7</v>
      </c>
      <c r="I13" s="7">
        <v>212246.39079999999</v>
      </c>
      <c r="J13" s="3">
        <v>0</v>
      </c>
      <c r="K13" s="3">
        <v>0</v>
      </c>
      <c r="L13" s="3">
        <v>0</v>
      </c>
      <c r="M13" s="3">
        <v>12</v>
      </c>
      <c r="N13" s="3"/>
      <c r="O13" s="21">
        <f>1-(N13/M13)</f>
        <v>1</v>
      </c>
      <c r="P13" s="3" t="s">
        <v>128</v>
      </c>
    </row>
    <row r="14" spans="2:16">
      <c r="B14" s="3" t="str">
        <f t="shared" si="2"/>
        <v>Sep</v>
      </c>
      <c r="C14" s="3">
        <f t="shared" si="1"/>
        <v>37</v>
      </c>
      <c r="D14" s="4">
        <v>46271</v>
      </c>
      <c r="E14" s="3">
        <v>944</v>
      </c>
      <c r="F14" s="3">
        <v>951</v>
      </c>
      <c r="G14" s="21">
        <f>+(F14-E14)/E14</f>
        <v>7.4152542372881358E-3</v>
      </c>
      <c r="H14" s="20">
        <f>+E14-F14</f>
        <v>-7</v>
      </c>
      <c r="I14" s="7">
        <v>212246.39079999999</v>
      </c>
      <c r="J14" s="3">
        <v>0</v>
      </c>
      <c r="K14" s="3">
        <v>0</v>
      </c>
      <c r="L14" s="3">
        <v>0</v>
      </c>
      <c r="M14" s="3"/>
      <c r="N14" s="3"/>
      <c r="O14" s="21" t="e">
        <f>1-(N14/M14)</f>
        <v>#DIV/0!</v>
      </c>
      <c r="P14" s="3" t="s">
        <v>128</v>
      </c>
    </row>
    <row r="15" spans="2:16">
      <c r="B15" s="3" t="str">
        <f t="shared" si="2"/>
        <v>Sep</v>
      </c>
      <c r="C15" s="3">
        <f t="shared" si="1"/>
        <v>37</v>
      </c>
      <c r="D15" s="4">
        <v>46272</v>
      </c>
      <c r="E15" s="3">
        <v>944</v>
      </c>
      <c r="F15" s="3">
        <v>951</v>
      </c>
      <c r="G15" s="21">
        <f>+(F15-E15)/E15</f>
        <v>7.4152542372881358E-3</v>
      </c>
      <c r="H15" s="20">
        <f>+E15-F15</f>
        <v>-7</v>
      </c>
      <c r="I15" s="7">
        <v>223203.95</v>
      </c>
      <c r="J15" s="3">
        <v>0</v>
      </c>
      <c r="K15" s="3">
        <v>0</v>
      </c>
      <c r="L15" s="3">
        <v>0</v>
      </c>
      <c r="M15" s="3">
        <v>12</v>
      </c>
      <c r="N15" s="3"/>
      <c r="O15" s="21">
        <f>1-(N15/M15)</f>
        <v>1</v>
      </c>
      <c r="P15" s="3" t="s">
        <v>129</v>
      </c>
    </row>
    <row r="16" spans="2:16">
      <c r="B16" s="3" t="str">
        <f t="shared" si="2"/>
        <v>Sep</v>
      </c>
      <c r="C16" s="3">
        <f t="shared" si="1"/>
        <v>37</v>
      </c>
      <c r="D16" s="4">
        <v>46273</v>
      </c>
      <c r="E16" s="3">
        <v>944</v>
      </c>
      <c r="F16" s="3">
        <v>951</v>
      </c>
      <c r="G16" s="21">
        <f>+(F16-E16)/E16</f>
        <v>7.4152542372881358E-3</v>
      </c>
      <c r="H16" s="20">
        <f>+E16-F16</f>
        <v>-7</v>
      </c>
      <c r="I16" s="7">
        <v>223203.95</v>
      </c>
      <c r="J16" s="3">
        <v>0</v>
      </c>
      <c r="K16" s="3">
        <v>0</v>
      </c>
      <c r="L16" s="3">
        <v>0</v>
      </c>
      <c r="M16" s="3">
        <v>9</v>
      </c>
      <c r="N16" s="3"/>
      <c r="O16" s="21">
        <f>1-(N16/M16)</f>
        <v>1</v>
      </c>
      <c r="P16" s="3" t="s">
        <v>129</v>
      </c>
    </row>
    <row r="17" spans="2:18">
      <c r="B17" s="3" t="str">
        <f t="shared" si="2"/>
        <v>Sep</v>
      </c>
      <c r="C17" s="3">
        <f t="shared" si="1"/>
        <v>37</v>
      </c>
      <c r="D17" s="4">
        <v>46274</v>
      </c>
      <c r="E17" s="3">
        <v>945</v>
      </c>
      <c r="F17" s="3">
        <v>952</v>
      </c>
      <c r="G17" s="21">
        <f>+(F17-E17)/E17</f>
        <v>7.4074074074074077E-3</v>
      </c>
      <c r="H17" s="20">
        <f>+E17-F17</f>
        <v>-7</v>
      </c>
      <c r="I17" s="7">
        <v>222791.52</v>
      </c>
      <c r="J17" s="3">
        <v>1</v>
      </c>
      <c r="K17" s="3">
        <v>1</v>
      </c>
      <c r="L17" s="3">
        <v>339</v>
      </c>
      <c r="M17" s="3">
        <v>3</v>
      </c>
      <c r="N17" s="3"/>
      <c r="O17" s="21">
        <f>1-(N17/M17)</f>
        <v>1</v>
      </c>
      <c r="P17" s="3" t="s">
        <v>130</v>
      </c>
    </row>
    <row r="18" spans="2:18">
      <c r="B18" s="3" t="str">
        <f t="shared" si="2"/>
        <v>Sep</v>
      </c>
      <c r="C18" s="3">
        <f t="shared" si="1"/>
        <v>37</v>
      </c>
      <c r="D18" s="4">
        <v>46275</v>
      </c>
      <c r="E18" s="3">
        <v>946</v>
      </c>
      <c r="F18" s="3">
        <v>953</v>
      </c>
      <c r="G18" s="21">
        <f>+(F18-E18)/E18</f>
        <v>7.3995771670190271E-3</v>
      </c>
      <c r="H18" s="20">
        <f>+E18-F18</f>
        <v>-7</v>
      </c>
      <c r="I18" s="7">
        <v>221527.36</v>
      </c>
      <c r="J18" s="3">
        <v>1</v>
      </c>
      <c r="K18" s="3">
        <v>1</v>
      </c>
      <c r="L18" s="3">
        <v>339</v>
      </c>
      <c r="M18" s="3">
        <v>2</v>
      </c>
      <c r="N18" s="3"/>
      <c r="O18" s="21">
        <f>1-(N18/M18)</f>
        <v>1</v>
      </c>
      <c r="P18" s="3" t="s">
        <v>131</v>
      </c>
    </row>
    <row r="19" spans="2:18">
      <c r="B19" s="3" t="str">
        <f t="shared" si="2"/>
        <v>Sep</v>
      </c>
      <c r="C19" s="3">
        <f t="shared" si="1"/>
        <v>37</v>
      </c>
      <c r="D19" s="4">
        <v>46276</v>
      </c>
      <c r="E19" s="3">
        <v>951</v>
      </c>
      <c r="F19" s="3">
        <v>953</v>
      </c>
      <c r="G19" s="21">
        <f>+(F19-E19)/E19</f>
        <v>2.103049421661409E-3</v>
      </c>
      <c r="H19" s="20">
        <f>+E19-F19</f>
        <v>-2</v>
      </c>
      <c r="I19" s="7">
        <v>222207.48</v>
      </c>
      <c r="J19" s="3">
        <v>2</v>
      </c>
      <c r="K19" s="3">
        <v>2</v>
      </c>
      <c r="L19" s="3">
        <v>481</v>
      </c>
      <c r="M19" s="3">
        <v>1</v>
      </c>
      <c r="N19" s="3"/>
      <c r="O19" s="21">
        <f>1-(N19/M19)</f>
        <v>1</v>
      </c>
      <c r="P19" s="3" t="s">
        <v>132</v>
      </c>
      <c r="R19" t="s">
        <v>133</v>
      </c>
    </row>
    <row r="20" spans="2:18">
      <c r="B20" s="3" t="str">
        <f t="shared" si="2"/>
        <v>Sep</v>
      </c>
      <c r="C20" s="3">
        <f t="shared" si="1"/>
        <v>37</v>
      </c>
      <c r="D20" s="4">
        <v>46277</v>
      </c>
      <c r="E20" s="3">
        <v>951</v>
      </c>
      <c r="F20" s="3">
        <v>953</v>
      </c>
      <c r="G20" s="21">
        <f>+(F20-E20)/E20</f>
        <v>2.103049421661409E-3</v>
      </c>
      <c r="H20" s="20">
        <f>+E20-F20</f>
        <v>-2</v>
      </c>
      <c r="I20" s="7">
        <v>222207.48</v>
      </c>
      <c r="J20" s="3">
        <v>2</v>
      </c>
      <c r="K20" s="3">
        <v>2</v>
      </c>
      <c r="L20" s="3">
        <v>481</v>
      </c>
      <c r="M20" s="3">
        <v>1</v>
      </c>
      <c r="N20" s="3"/>
      <c r="O20" s="21">
        <f>1-(N20/M20)</f>
        <v>1</v>
      </c>
      <c r="P20" s="3" t="s">
        <v>132</v>
      </c>
    </row>
    <row r="21" spans="2:18">
      <c r="B21" s="3" t="str">
        <f t="shared" si="2"/>
        <v>Sep</v>
      </c>
      <c r="C21" s="3">
        <f t="shared" si="1"/>
        <v>38</v>
      </c>
      <c r="D21" s="4">
        <v>46278</v>
      </c>
      <c r="E21" s="3">
        <v>951</v>
      </c>
      <c r="F21" s="3">
        <v>953</v>
      </c>
      <c r="G21" s="21">
        <f>+(F21-E21)/E21</f>
        <v>2.103049421661409E-3</v>
      </c>
      <c r="H21" s="20">
        <f>+E21-F21</f>
        <v>-2</v>
      </c>
      <c r="I21" s="7">
        <v>222207.48</v>
      </c>
      <c r="J21" s="3">
        <v>2</v>
      </c>
      <c r="K21" s="3">
        <v>2</v>
      </c>
      <c r="L21" s="3">
        <v>481</v>
      </c>
      <c r="M21" s="3">
        <v>1</v>
      </c>
      <c r="N21" s="3"/>
      <c r="O21" s="21">
        <f>1-(N21/M21)</f>
        <v>1</v>
      </c>
      <c r="P21" s="3" t="s">
        <v>132</v>
      </c>
    </row>
    <row r="22" spans="2:18">
      <c r="B22" s="3" t="str">
        <f t="shared" si="2"/>
        <v>Sep</v>
      </c>
      <c r="C22" s="3">
        <f t="shared" si="1"/>
        <v>38</v>
      </c>
      <c r="D22" s="4">
        <v>46279</v>
      </c>
      <c r="E22" s="3">
        <v>951</v>
      </c>
      <c r="F22" s="3">
        <v>953</v>
      </c>
      <c r="G22" s="21">
        <f>+(F22-E22)/E22</f>
        <v>2.103049421661409E-3</v>
      </c>
      <c r="H22" s="20">
        <f>+E22-F22</f>
        <v>-2</v>
      </c>
      <c r="I22" s="7">
        <v>220860.94</v>
      </c>
      <c r="J22" s="3">
        <v>2</v>
      </c>
      <c r="K22" s="3">
        <v>2</v>
      </c>
      <c r="L22" s="3">
        <v>481</v>
      </c>
      <c r="M22" s="3">
        <v>1</v>
      </c>
      <c r="N22" s="3"/>
      <c r="O22" s="21">
        <f>1-(N22/M22)</f>
        <v>1</v>
      </c>
      <c r="P22" s="3" t="s">
        <v>134</v>
      </c>
    </row>
    <row r="23" spans="2:18" ht="15.75">
      <c r="B23" s="3" t="str">
        <f t="shared" si="2"/>
        <v>Sep</v>
      </c>
      <c r="C23" s="3">
        <f t="shared" si="1"/>
        <v>38</v>
      </c>
      <c r="D23" s="4">
        <v>46280</v>
      </c>
      <c r="E23" s="3">
        <v>951</v>
      </c>
      <c r="F23" s="3">
        <v>953</v>
      </c>
      <c r="G23" s="21">
        <f>+(F23-E24)/E24</f>
        <v>2.103049421661409E-3</v>
      </c>
      <c r="H23" s="20">
        <f>+E24-F23</f>
        <v>-2</v>
      </c>
      <c r="I23" s="7">
        <v>220860.94</v>
      </c>
      <c r="J23" s="3">
        <v>2</v>
      </c>
      <c r="K23" s="3">
        <v>2</v>
      </c>
      <c r="L23" s="3">
        <v>481</v>
      </c>
      <c r="M23" s="3">
        <v>1</v>
      </c>
      <c r="N23" s="3"/>
      <c r="O23" s="21">
        <f>1-(N23/M23)</f>
        <v>1</v>
      </c>
      <c r="P23" s="3" t="s">
        <v>135</v>
      </c>
    </row>
    <row r="24" spans="2:18" ht="15.75">
      <c r="B24" s="3" t="str">
        <f t="shared" si="2"/>
        <v>Sep</v>
      </c>
      <c r="C24" s="3">
        <f t="shared" si="1"/>
        <v>38</v>
      </c>
      <c r="D24" s="4">
        <v>46281</v>
      </c>
      <c r="E24" s="3">
        <v>951</v>
      </c>
      <c r="F24" s="3">
        <v>953</v>
      </c>
      <c r="G24" s="21">
        <f>+(F24-E25)/E25</f>
        <v>2.103049421661409E-3</v>
      </c>
      <c r="H24" s="20">
        <f>+E25-F24</f>
        <v>-2</v>
      </c>
      <c r="I24" s="7">
        <v>220860.94</v>
      </c>
      <c r="J24" s="3">
        <v>1</v>
      </c>
      <c r="K24" s="3">
        <v>1</v>
      </c>
      <c r="L24" s="3">
        <v>481</v>
      </c>
      <c r="M24" s="3">
        <v>1</v>
      </c>
      <c r="N24" s="3"/>
      <c r="O24" s="21">
        <f>1-(N24/M24)</f>
        <v>1</v>
      </c>
      <c r="P24" s="3" t="s">
        <v>135</v>
      </c>
    </row>
    <row r="25" spans="2:18">
      <c r="B25" s="3" t="str">
        <f t="shared" si="2"/>
        <v>Sep</v>
      </c>
      <c r="C25" s="3">
        <f t="shared" si="1"/>
        <v>38</v>
      </c>
      <c r="D25" s="4">
        <v>46282</v>
      </c>
      <c r="E25" s="3">
        <v>951</v>
      </c>
      <c r="F25" s="3">
        <v>953</v>
      </c>
      <c r="G25" s="21">
        <f>+(F25-E25)/E25</f>
        <v>2.103049421661409E-3</v>
      </c>
      <c r="H25" s="20">
        <f>+E25-F25</f>
        <v>-2</v>
      </c>
      <c r="I25" s="7">
        <v>226301.95</v>
      </c>
      <c r="J25" s="3">
        <v>1</v>
      </c>
      <c r="K25" s="3">
        <v>1</v>
      </c>
      <c r="L25" s="3">
        <v>380</v>
      </c>
      <c r="M25" s="3">
        <v>0</v>
      </c>
      <c r="N25" s="3"/>
      <c r="O25" s="21" t="e">
        <f>1-(N25/M25)</f>
        <v>#DIV/0!</v>
      </c>
      <c r="P25" s="3" t="s">
        <v>136</v>
      </c>
    </row>
    <row r="26" spans="2:18">
      <c r="B26" s="3" t="str">
        <f t="shared" si="2"/>
        <v>Sep</v>
      </c>
      <c r="C26" s="3">
        <f t="shared" si="1"/>
        <v>38</v>
      </c>
      <c r="D26" s="4">
        <v>46283</v>
      </c>
      <c r="E26" s="3">
        <v>951</v>
      </c>
      <c r="F26" s="3">
        <v>953</v>
      </c>
      <c r="G26" s="21">
        <f>+(F26-E26)/E26</f>
        <v>2.103049421661409E-3</v>
      </c>
      <c r="H26" s="20">
        <f>+E26-F26</f>
        <v>-2</v>
      </c>
      <c r="I26" s="7">
        <v>225612.76</v>
      </c>
      <c r="J26" s="3">
        <v>1</v>
      </c>
      <c r="K26" s="3">
        <v>1</v>
      </c>
      <c r="L26" s="3">
        <v>380</v>
      </c>
      <c r="M26" s="3">
        <v>0</v>
      </c>
      <c r="N26" s="3"/>
      <c r="O26" s="21" t="e">
        <f>1-(N26/M26)</f>
        <v>#DIV/0!</v>
      </c>
      <c r="P26" s="3" t="s">
        <v>137</v>
      </c>
    </row>
    <row r="27" spans="2:18">
      <c r="B27" s="3" t="str">
        <f t="shared" si="2"/>
        <v>Sep</v>
      </c>
      <c r="C27" s="3">
        <f t="shared" si="1"/>
        <v>38</v>
      </c>
      <c r="D27" s="4">
        <v>46284</v>
      </c>
      <c r="E27" s="3">
        <v>951</v>
      </c>
      <c r="F27" s="3">
        <v>953</v>
      </c>
      <c r="G27" s="21">
        <f>+(F27-E27)/E27</f>
        <v>2.103049421661409E-3</v>
      </c>
      <c r="H27" s="20">
        <f>+E27-F27</f>
        <v>-2</v>
      </c>
      <c r="I27" s="7">
        <v>225612.76</v>
      </c>
      <c r="J27" s="3">
        <v>1</v>
      </c>
      <c r="K27" s="3">
        <v>1</v>
      </c>
      <c r="L27" s="3">
        <v>380</v>
      </c>
      <c r="M27" s="3">
        <v>0</v>
      </c>
      <c r="N27" s="3"/>
      <c r="O27" s="21" t="e">
        <f>1-(N27/M27)</f>
        <v>#DIV/0!</v>
      </c>
      <c r="P27" s="3" t="s">
        <v>137</v>
      </c>
    </row>
    <row r="28" spans="2:18">
      <c r="B28" s="3" t="str">
        <f t="shared" si="2"/>
        <v>Sep</v>
      </c>
      <c r="C28" s="3">
        <f t="shared" si="1"/>
        <v>39</v>
      </c>
      <c r="D28" s="4">
        <v>46285</v>
      </c>
      <c r="E28" s="3">
        <v>951</v>
      </c>
      <c r="F28" s="3">
        <v>953</v>
      </c>
      <c r="G28" s="21">
        <f>+(F28-E28)/E28</f>
        <v>2.103049421661409E-3</v>
      </c>
      <c r="H28" s="20">
        <f>+E28-F28</f>
        <v>-2</v>
      </c>
      <c r="I28" s="7">
        <v>225612.76</v>
      </c>
      <c r="J28" s="3">
        <v>1</v>
      </c>
      <c r="K28" s="3">
        <v>1</v>
      </c>
      <c r="L28" s="3">
        <v>380</v>
      </c>
      <c r="M28" s="3">
        <v>0</v>
      </c>
      <c r="N28" s="3"/>
      <c r="O28" s="21" t="e">
        <f>1-(N28/M28)</f>
        <v>#DIV/0!</v>
      </c>
      <c r="P28" s="3" t="s">
        <v>137</v>
      </c>
    </row>
    <row r="29" spans="2:18">
      <c r="B29" s="3" t="str">
        <f t="shared" si="2"/>
        <v>Sep</v>
      </c>
      <c r="C29" s="3">
        <f t="shared" si="1"/>
        <v>39</v>
      </c>
      <c r="D29" s="4">
        <v>46286</v>
      </c>
      <c r="E29" s="3">
        <v>951</v>
      </c>
      <c r="F29" s="3">
        <v>953</v>
      </c>
      <c r="G29" s="21">
        <f>+(F29-E29)/E29</f>
        <v>2.103049421661409E-3</v>
      </c>
      <c r="H29" s="20">
        <f>+E29-F29</f>
        <v>-2</v>
      </c>
      <c r="I29" s="7">
        <v>225896.81</v>
      </c>
      <c r="J29" s="3">
        <v>1</v>
      </c>
      <c r="K29" s="3">
        <v>1</v>
      </c>
      <c r="L29" s="3">
        <v>380</v>
      </c>
      <c r="M29" s="3">
        <v>0</v>
      </c>
      <c r="N29" s="3"/>
      <c r="O29" s="21" t="e">
        <f>1-(N29/M29)</f>
        <v>#DIV/0!</v>
      </c>
      <c r="P29" s="3" t="s">
        <v>138</v>
      </c>
    </row>
    <row r="30" spans="2:18">
      <c r="B30" s="3" t="str">
        <f t="shared" si="2"/>
        <v>Sep</v>
      </c>
      <c r="C30" s="3">
        <f t="shared" si="1"/>
        <v>39</v>
      </c>
      <c r="D30" s="4">
        <v>46287</v>
      </c>
      <c r="E30" s="3">
        <v>951</v>
      </c>
      <c r="F30" s="3">
        <v>953</v>
      </c>
      <c r="G30" s="21">
        <f>+(F30-E30)/E30</f>
        <v>2.103049421661409E-3</v>
      </c>
      <c r="H30" s="20">
        <f>+E30-F30</f>
        <v>-2</v>
      </c>
      <c r="I30" s="7">
        <v>217093.21</v>
      </c>
      <c r="J30" s="3">
        <v>1</v>
      </c>
      <c r="K30" s="3">
        <v>1</v>
      </c>
      <c r="L30" s="3">
        <v>380</v>
      </c>
      <c r="M30" s="3">
        <v>0</v>
      </c>
      <c r="N30" s="3"/>
      <c r="O30" s="21" t="e">
        <f>1-(N30/M30)</f>
        <v>#DIV/0!</v>
      </c>
      <c r="P30" s="3" t="s">
        <v>139</v>
      </c>
    </row>
    <row r="31" spans="2:18">
      <c r="B31" s="3" t="str">
        <f t="shared" si="2"/>
        <v>Sep</v>
      </c>
      <c r="C31" s="3">
        <f t="shared" si="1"/>
        <v>39</v>
      </c>
      <c r="D31" s="4">
        <v>46288</v>
      </c>
      <c r="E31" s="3">
        <v>952</v>
      </c>
      <c r="F31" s="3">
        <v>953</v>
      </c>
      <c r="G31" s="21">
        <f>+(F31-E31)/E31</f>
        <v>1.0504201680672268E-3</v>
      </c>
      <c r="H31" s="20">
        <f>+E31-F31</f>
        <v>-1</v>
      </c>
      <c r="I31" s="7">
        <v>216963.4</v>
      </c>
      <c r="J31" s="3">
        <v>1</v>
      </c>
      <c r="K31" s="3">
        <v>1</v>
      </c>
      <c r="L31" s="3">
        <v>380</v>
      </c>
      <c r="M31" s="3">
        <v>0</v>
      </c>
      <c r="N31" s="3"/>
      <c r="O31" s="21" t="e">
        <f>1-(N31/M31)</f>
        <v>#DIV/0!</v>
      </c>
      <c r="P31" s="3" t="s">
        <v>140</v>
      </c>
    </row>
    <row r="32" spans="2:18">
      <c r="B32" s="3" t="str">
        <f t="shared" si="2"/>
        <v>Sep</v>
      </c>
      <c r="C32" s="3">
        <f t="shared" si="1"/>
        <v>39</v>
      </c>
      <c r="D32" s="4">
        <v>46289</v>
      </c>
      <c r="E32" s="3">
        <v>952</v>
      </c>
      <c r="F32" s="3">
        <v>953</v>
      </c>
      <c r="G32" s="21">
        <f>+(F32-E32)/E32</f>
        <v>1.0504201680672268E-3</v>
      </c>
      <c r="H32" s="20">
        <f>+E32-F32</f>
        <v>-1</v>
      </c>
      <c r="I32" s="7">
        <v>216081.28</v>
      </c>
      <c r="J32" s="3">
        <v>1</v>
      </c>
      <c r="K32" s="3">
        <v>1</v>
      </c>
      <c r="L32" s="3">
        <v>380</v>
      </c>
      <c r="M32" s="3">
        <v>0</v>
      </c>
      <c r="N32" s="3"/>
      <c r="O32" s="21" t="e">
        <f>1-(N32/M32)</f>
        <v>#DIV/0!</v>
      </c>
      <c r="P32" s="3" t="s">
        <v>141</v>
      </c>
    </row>
    <row r="33" spans="2:16">
      <c r="B33" s="3" t="str">
        <f t="shared" si="2"/>
        <v>Sep</v>
      </c>
      <c r="C33" s="3">
        <f t="shared" si="1"/>
        <v>39</v>
      </c>
      <c r="D33" s="4">
        <v>46290</v>
      </c>
      <c r="E33" s="3"/>
      <c r="F33" s="3"/>
      <c r="G33" s="21" t="e">
        <f>+(F33-E33)/E33</f>
        <v>#DIV/0!</v>
      </c>
      <c r="H33" s="20">
        <f>+E33-F33</f>
        <v>0</v>
      </c>
      <c r="I33" s="7"/>
      <c r="J33" s="3"/>
      <c r="K33" s="3"/>
      <c r="L33" s="3"/>
      <c r="M33" s="3"/>
      <c r="N33" s="3"/>
      <c r="O33" s="21" t="e">
        <f>1-(N33/M33)</f>
        <v>#DIV/0!</v>
      </c>
      <c r="P33" s="3"/>
    </row>
    <row r="34" spans="2:16">
      <c r="B34" s="3" t="str">
        <f t="shared" si="2"/>
        <v>Sep</v>
      </c>
      <c r="C34" s="3">
        <f t="shared" si="1"/>
        <v>39</v>
      </c>
      <c r="D34" s="4">
        <v>46291</v>
      </c>
      <c r="E34" s="3"/>
      <c r="F34" s="3"/>
      <c r="G34" s="21" t="e">
        <f>+(F34-E34)/E34</f>
        <v>#DIV/0!</v>
      </c>
      <c r="H34" s="20">
        <f>+E34-F34</f>
        <v>0</v>
      </c>
      <c r="I34" s="7"/>
      <c r="J34" s="3"/>
      <c r="K34" s="3"/>
      <c r="L34" s="3"/>
      <c r="M34" s="3"/>
      <c r="N34" s="3"/>
      <c r="O34" s="21" t="e">
        <f>1-(N34/M34)</f>
        <v>#DIV/0!</v>
      </c>
      <c r="P34" s="3"/>
    </row>
    <row r="35" spans="2:16">
      <c r="B35" s="3" t="str">
        <f t="shared" si="2"/>
        <v>Sep</v>
      </c>
      <c r="C35" s="3">
        <f t="shared" si="1"/>
        <v>40</v>
      </c>
      <c r="D35" s="4">
        <v>46292</v>
      </c>
      <c r="E35" s="3"/>
      <c r="F35" s="3"/>
      <c r="G35" s="21" t="e">
        <f>+(F35-E35)/E35</f>
        <v>#DIV/0!</v>
      </c>
      <c r="H35" s="20">
        <f>+E35-F35</f>
        <v>0</v>
      </c>
      <c r="I35" s="7"/>
      <c r="J35" s="3"/>
      <c r="K35" s="3"/>
      <c r="L35" s="3"/>
      <c r="M35" s="3"/>
      <c r="N35" s="3"/>
      <c r="O35" s="21" t="e">
        <f>1-(N35/M35)</f>
        <v>#DIV/0!</v>
      </c>
      <c r="P35" s="3"/>
    </row>
    <row r="36" spans="2:16">
      <c r="B36" s="3" t="str">
        <f t="shared" si="2"/>
        <v>Sep</v>
      </c>
      <c r="C36" s="3">
        <f t="shared" si="1"/>
        <v>40</v>
      </c>
      <c r="D36" s="4">
        <v>46293</v>
      </c>
      <c r="E36" s="3"/>
      <c r="F36" s="3"/>
      <c r="G36" s="21" t="e">
        <f>+(F36-E36)/E36</f>
        <v>#DIV/0!</v>
      </c>
      <c r="H36" s="20">
        <f>+E36-F36</f>
        <v>0</v>
      </c>
      <c r="I36" s="7"/>
      <c r="J36" s="3"/>
      <c r="K36" s="3"/>
      <c r="L36" s="3"/>
      <c r="M36" s="3"/>
      <c r="N36" s="3"/>
      <c r="O36" s="21" t="e">
        <f>1-(N36/M36)</f>
        <v>#DIV/0!</v>
      </c>
      <c r="P36" s="3"/>
    </row>
    <row r="37" spans="2:16">
      <c r="B37" s="3" t="str">
        <f t="shared" si="2"/>
        <v>Sep</v>
      </c>
      <c r="C37" s="3">
        <f t="shared" si="1"/>
        <v>40</v>
      </c>
      <c r="D37" s="4">
        <v>46294</v>
      </c>
      <c r="E37" s="3"/>
      <c r="F37" s="3"/>
      <c r="G37" s="21" t="e">
        <f>+(F37-E37)/E37</f>
        <v>#DIV/0!</v>
      </c>
      <c r="H37" s="20">
        <f>+E37-F37</f>
        <v>0</v>
      </c>
      <c r="I37" s="7"/>
      <c r="J37" s="3"/>
      <c r="K37" s="3"/>
      <c r="L37" s="3"/>
      <c r="M37" s="3"/>
      <c r="N37" s="3"/>
      <c r="O37" s="21" t="e">
        <f>1-(N37/M37)</f>
        <v>#DIV/0!</v>
      </c>
      <c r="P37" s="3"/>
    </row>
    <row r="38" spans="2:16">
      <c r="B38" s="3" t="str">
        <f t="shared" si="2"/>
        <v>Sep</v>
      </c>
      <c r="C38" s="3">
        <f t="shared" si="1"/>
        <v>40</v>
      </c>
      <c r="D38" s="4">
        <v>46295</v>
      </c>
      <c r="E38" s="3"/>
      <c r="F38" s="3"/>
      <c r="G38" s="21" t="e">
        <f>+(F38-E38)/E38</f>
        <v>#DIV/0!</v>
      </c>
      <c r="H38" s="20">
        <f>+E38-F38</f>
        <v>0</v>
      </c>
      <c r="I38" s="7"/>
      <c r="J38" s="3"/>
      <c r="K38" s="3"/>
      <c r="L38" s="3"/>
      <c r="M38" s="3"/>
      <c r="N38" s="3"/>
      <c r="O38" s="21" t="e">
        <f>1-(N38/M38)</f>
        <v>#DIV/0!</v>
      </c>
      <c r="P38" s="3"/>
    </row>
    <row r="39" spans="2:16">
      <c r="B39" s="3" t="str">
        <f t="shared" si="2"/>
        <v>Oct</v>
      </c>
      <c r="C39" s="3">
        <f t="shared" si="1"/>
        <v>40</v>
      </c>
      <c r="D39" s="4">
        <v>46296</v>
      </c>
      <c r="E39" s="3"/>
      <c r="F39" s="3"/>
      <c r="G39" s="21" t="e">
        <f>+(F39-E39)/E39</f>
        <v>#DIV/0!</v>
      </c>
      <c r="H39" s="20">
        <f>+E39-F39</f>
        <v>0</v>
      </c>
      <c r="I39" s="7"/>
      <c r="J39" s="3"/>
      <c r="K39" s="3"/>
      <c r="L39" s="3"/>
      <c r="M39" s="3"/>
      <c r="N39" s="3"/>
      <c r="O39" s="21" t="e">
        <f>1-(N39/M39)</f>
        <v>#DIV/0!</v>
      </c>
      <c r="P39" s="3"/>
    </row>
    <row r="40" spans="2:16">
      <c r="B40" s="3" t="str">
        <f t="shared" si="2"/>
        <v>Oct</v>
      </c>
      <c r="C40" s="3">
        <f t="shared" si="1"/>
        <v>40</v>
      </c>
      <c r="D40" s="4">
        <v>46297</v>
      </c>
      <c r="E40" s="3"/>
      <c r="F40" s="3"/>
      <c r="G40" s="21" t="e">
        <f>+(F40-E40)/E40</f>
        <v>#DIV/0!</v>
      </c>
      <c r="H40" s="20">
        <f>+E40-F40</f>
        <v>0</v>
      </c>
      <c r="I40" s="7"/>
      <c r="J40" s="3"/>
      <c r="K40" s="3"/>
      <c r="L40" s="3"/>
      <c r="M40" s="3"/>
      <c r="N40" s="3"/>
      <c r="O40" s="21" t="e">
        <f>1-(N40/M40)</f>
        <v>#DIV/0!</v>
      </c>
      <c r="P40" s="3"/>
    </row>
    <row r="41" spans="2:16">
      <c r="B41" s="3" t="str">
        <f t="shared" si="2"/>
        <v>Oct</v>
      </c>
      <c r="C41" s="3">
        <f t="shared" si="1"/>
        <v>40</v>
      </c>
      <c r="D41" s="4">
        <v>46298</v>
      </c>
      <c r="E41" s="3"/>
      <c r="F41" s="3"/>
      <c r="G41" s="21" t="e">
        <f>+(F41-E41)/E41</f>
        <v>#DIV/0!</v>
      </c>
      <c r="H41" s="20">
        <f>+E41-F41</f>
        <v>0</v>
      </c>
      <c r="I41" s="7"/>
      <c r="J41" s="3"/>
      <c r="K41" s="3"/>
      <c r="L41" s="3"/>
      <c r="M41" s="3"/>
      <c r="N41" s="3"/>
      <c r="O41" s="21" t="e">
        <f>1-(N41/M41)</f>
        <v>#DIV/0!</v>
      </c>
      <c r="P41" s="3"/>
    </row>
    <row r="42" spans="2:16">
      <c r="B42" s="3" t="str">
        <f t="shared" si="2"/>
        <v>Oct</v>
      </c>
      <c r="C42" s="3">
        <f t="shared" si="1"/>
        <v>41</v>
      </c>
      <c r="D42" s="4">
        <v>46299</v>
      </c>
      <c r="E42" s="3"/>
      <c r="F42" s="3"/>
      <c r="G42" s="21" t="e">
        <f>+(F42-E42)/E42</f>
        <v>#DIV/0!</v>
      </c>
      <c r="H42" s="20">
        <f>+E42-F42</f>
        <v>0</v>
      </c>
      <c r="I42" s="7"/>
      <c r="J42" s="3"/>
      <c r="K42" s="3"/>
      <c r="L42" s="3"/>
      <c r="M42" s="3"/>
      <c r="N42" s="3"/>
      <c r="O42" s="21" t="e">
        <f>1-(N42/M42)</f>
        <v>#DIV/0!</v>
      </c>
      <c r="P42" s="3"/>
    </row>
    <row r="43" spans="2:16">
      <c r="B43" s="3" t="str">
        <f t="shared" si="2"/>
        <v>Oct</v>
      </c>
      <c r="C43" s="3">
        <f t="shared" si="1"/>
        <v>41</v>
      </c>
      <c r="D43" s="4">
        <v>46300</v>
      </c>
      <c r="E43" s="3"/>
      <c r="F43" s="3"/>
      <c r="G43" s="21" t="e">
        <f>+(F43-E43)/E43</f>
        <v>#DIV/0!</v>
      </c>
      <c r="H43" s="20">
        <f>+E43-F43</f>
        <v>0</v>
      </c>
      <c r="I43" s="7"/>
      <c r="J43" s="3"/>
      <c r="K43" s="3"/>
      <c r="L43" s="3"/>
      <c r="M43" s="3"/>
      <c r="N43" s="3"/>
      <c r="O43" s="21" t="e">
        <f>1-(N43/M43)</f>
        <v>#DIV/0!</v>
      </c>
      <c r="P43" s="3"/>
    </row>
    <row r="44" spans="2:16">
      <c r="B44" s="3" t="str">
        <f t="shared" si="2"/>
        <v>Oct</v>
      </c>
      <c r="C44" s="3">
        <f t="shared" si="1"/>
        <v>41</v>
      </c>
      <c r="D44" s="4">
        <v>46301</v>
      </c>
      <c r="E44" s="3"/>
      <c r="F44" s="3"/>
      <c r="G44" s="21" t="e">
        <f>+(F44-E44)/E44</f>
        <v>#DIV/0!</v>
      </c>
      <c r="H44" s="20">
        <f>+E44-F44</f>
        <v>0</v>
      </c>
      <c r="I44" s="7"/>
      <c r="J44" s="3"/>
      <c r="K44" s="3"/>
      <c r="L44" s="3"/>
      <c r="M44" s="3"/>
      <c r="N44" s="3"/>
      <c r="O44" s="21" t="e">
        <f>1-(N44/M44)</f>
        <v>#DIV/0!</v>
      </c>
      <c r="P44" s="3"/>
    </row>
    <row r="45" spans="2:16">
      <c r="B45" s="3" t="str">
        <f t="shared" si="2"/>
        <v>Oct</v>
      </c>
      <c r="C45" s="3">
        <f t="shared" si="1"/>
        <v>41</v>
      </c>
      <c r="D45" s="4">
        <v>46302</v>
      </c>
      <c r="E45" s="3"/>
      <c r="F45" s="3"/>
      <c r="G45" s="21" t="e">
        <f>+(F45-E45)/E45</f>
        <v>#DIV/0!</v>
      </c>
      <c r="H45" s="20">
        <f>+E45-F45</f>
        <v>0</v>
      </c>
      <c r="I45" s="7"/>
      <c r="J45" s="3"/>
      <c r="K45" s="3"/>
      <c r="L45" s="3"/>
      <c r="M45" s="3"/>
      <c r="N45" s="3"/>
      <c r="O45" s="21" t="e">
        <f>1-(N45/M45)</f>
        <v>#DIV/0!</v>
      </c>
      <c r="P45" s="3"/>
    </row>
    <row r="46" spans="2:16">
      <c r="B46" s="3" t="str">
        <f t="shared" si="2"/>
        <v>Oct</v>
      </c>
      <c r="C46" s="3">
        <f t="shared" si="1"/>
        <v>41</v>
      </c>
      <c r="D46" s="4">
        <v>46303</v>
      </c>
      <c r="E46" s="3"/>
      <c r="F46" s="3"/>
      <c r="G46" s="21" t="e">
        <f>+(F46-E46)/E46</f>
        <v>#DIV/0!</v>
      </c>
      <c r="H46" s="20">
        <f>+E46-F46</f>
        <v>0</v>
      </c>
      <c r="I46" s="7"/>
      <c r="J46" s="3"/>
      <c r="K46" s="3"/>
      <c r="L46" s="3"/>
      <c r="M46" s="3"/>
      <c r="N46" s="3"/>
      <c r="O46" s="21" t="e">
        <f>1-(N46/M46)</f>
        <v>#DIV/0!</v>
      </c>
      <c r="P46" s="3"/>
    </row>
    <row r="47" spans="2:16">
      <c r="B47" s="3" t="str">
        <f t="shared" si="2"/>
        <v>Oct</v>
      </c>
      <c r="C47" s="3">
        <f t="shared" si="1"/>
        <v>41</v>
      </c>
      <c r="D47" s="4">
        <v>46304</v>
      </c>
      <c r="E47" s="3"/>
      <c r="F47" s="3"/>
      <c r="G47" s="21" t="e">
        <f>+(F47-E47)/E47</f>
        <v>#DIV/0!</v>
      </c>
      <c r="H47" s="20">
        <f>+E47-F47</f>
        <v>0</v>
      </c>
      <c r="I47" s="7"/>
      <c r="J47" s="3"/>
      <c r="K47" s="3"/>
      <c r="L47" s="3"/>
      <c r="M47" s="3"/>
      <c r="N47" s="3"/>
      <c r="O47" s="21" t="e">
        <f>1-(N47/M47)</f>
        <v>#DIV/0!</v>
      </c>
      <c r="P47" s="3"/>
    </row>
    <row r="48" spans="2:16">
      <c r="B48" s="3" t="str">
        <f t="shared" si="2"/>
        <v>Oct</v>
      </c>
      <c r="C48" s="3">
        <f t="shared" si="1"/>
        <v>41</v>
      </c>
      <c r="D48" s="4">
        <v>46305</v>
      </c>
      <c r="E48" s="3"/>
      <c r="F48" s="3"/>
      <c r="G48" s="21" t="e">
        <f>+(F48-E48)/E48</f>
        <v>#DIV/0!</v>
      </c>
      <c r="H48" s="20">
        <f>+E48-F48</f>
        <v>0</v>
      </c>
      <c r="I48" s="7"/>
      <c r="J48" s="3"/>
      <c r="K48" s="3"/>
      <c r="L48" s="3"/>
      <c r="M48" s="3"/>
      <c r="N48" s="3"/>
      <c r="O48" s="21" t="e">
        <f>1-(N48/M48)</f>
        <v>#DIV/0!</v>
      </c>
      <c r="P48" s="3"/>
    </row>
    <row r="49" spans="2:16">
      <c r="B49" s="3" t="str">
        <f t="shared" si="2"/>
        <v>Oct</v>
      </c>
      <c r="C49" s="3">
        <f t="shared" si="1"/>
        <v>42</v>
      </c>
      <c r="D49" s="4">
        <v>46306</v>
      </c>
      <c r="E49" s="3"/>
      <c r="F49" s="3"/>
      <c r="G49" s="21" t="e">
        <f>+(F49-E49)/E49</f>
        <v>#DIV/0!</v>
      </c>
      <c r="H49" s="20">
        <f>+E49-F49</f>
        <v>0</v>
      </c>
      <c r="I49" s="7"/>
      <c r="J49" s="3"/>
      <c r="K49" s="3"/>
      <c r="L49" s="3"/>
      <c r="M49" s="3"/>
      <c r="N49" s="3"/>
      <c r="O49" s="21" t="e">
        <f>1-(N49/M49)</f>
        <v>#DIV/0!</v>
      </c>
      <c r="P49" s="3"/>
    </row>
    <row r="50" spans="2:16">
      <c r="B50" s="3" t="str">
        <f t="shared" si="2"/>
        <v>Oct</v>
      </c>
      <c r="C50" s="3">
        <f t="shared" si="1"/>
        <v>42</v>
      </c>
      <c r="D50" s="4">
        <v>46307</v>
      </c>
      <c r="E50" s="3"/>
      <c r="F50" s="3"/>
      <c r="G50" s="21" t="e">
        <f>+(F50-E50)/E50</f>
        <v>#DIV/0!</v>
      </c>
      <c r="H50" s="20">
        <f>+E50-F50</f>
        <v>0</v>
      </c>
      <c r="I50" s="7"/>
      <c r="J50" s="3"/>
      <c r="K50" s="3"/>
      <c r="L50" s="3"/>
      <c r="M50" s="3"/>
      <c r="N50" s="3"/>
      <c r="O50" s="21" t="e">
        <f>1-(N50/M50)</f>
        <v>#DIV/0!</v>
      </c>
      <c r="P50" s="3"/>
    </row>
    <row r="51" spans="2:16">
      <c r="B51" s="3" t="str">
        <f t="shared" si="2"/>
        <v>Oct</v>
      </c>
      <c r="C51" s="3">
        <f t="shared" si="1"/>
        <v>42</v>
      </c>
      <c r="D51" s="4">
        <v>46308</v>
      </c>
      <c r="E51" s="3"/>
      <c r="F51" s="3"/>
      <c r="G51" s="21" t="e">
        <f>+(F51-E51)/E51</f>
        <v>#DIV/0!</v>
      </c>
      <c r="H51" s="20">
        <f>+E51-F51</f>
        <v>0</v>
      </c>
      <c r="I51" s="7"/>
      <c r="J51" s="3"/>
      <c r="K51" s="3"/>
      <c r="L51" s="3"/>
      <c r="M51" s="3"/>
      <c r="N51" s="3"/>
      <c r="O51" s="21" t="e">
        <f>1-(N51/M51)</f>
        <v>#DIV/0!</v>
      </c>
      <c r="P51" s="3"/>
    </row>
    <row r="52" spans="2:16">
      <c r="B52" s="3" t="str">
        <f t="shared" si="2"/>
        <v>Oct</v>
      </c>
      <c r="C52" s="3">
        <f t="shared" si="1"/>
        <v>42</v>
      </c>
      <c r="D52" s="4">
        <v>46309</v>
      </c>
      <c r="E52" s="3"/>
      <c r="F52" s="3"/>
      <c r="G52" s="21" t="e">
        <f>+(F52-E52)/E52</f>
        <v>#DIV/0!</v>
      </c>
      <c r="H52" s="20">
        <f>+E52-F52</f>
        <v>0</v>
      </c>
      <c r="I52" s="7"/>
      <c r="J52" s="3"/>
      <c r="K52" s="3"/>
      <c r="L52" s="3"/>
      <c r="M52" s="3"/>
      <c r="N52" s="3"/>
      <c r="O52" s="21" t="e">
        <f>1-(N52/M52)</f>
        <v>#DIV/0!</v>
      </c>
      <c r="P52" s="3"/>
    </row>
    <row r="53" spans="2:16">
      <c r="B53" s="3" t="str">
        <f t="shared" si="2"/>
        <v>Oct</v>
      </c>
      <c r="C53" s="3">
        <f t="shared" si="1"/>
        <v>42</v>
      </c>
      <c r="D53" s="4">
        <v>46310</v>
      </c>
      <c r="E53" s="3"/>
      <c r="F53" s="3"/>
      <c r="G53" s="21" t="e">
        <f>+(F53-E53)/E53</f>
        <v>#DIV/0!</v>
      </c>
      <c r="H53" s="20">
        <f>+E53-F53</f>
        <v>0</v>
      </c>
      <c r="I53" s="7"/>
      <c r="J53" s="3"/>
      <c r="K53" s="3"/>
      <c r="L53" s="3"/>
      <c r="M53" s="3"/>
      <c r="N53" s="3"/>
      <c r="O53" s="21" t="e">
        <f>1-(N53/M53)</f>
        <v>#DIV/0!</v>
      </c>
      <c r="P53" s="3"/>
    </row>
    <row r="54" spans="2:16">
      <c r="B54" s="3" t="str">
        <f t="shared" si="2"/>
        <v>Oct</v>
      </c>
      <c r="C54" s="3">
        <f t="shared" si="1"/>
        <v>42</v>
      </c>
      <c r="D54" s="4">
        <v>46311</v>
      </c>
      <c r="E54" s="3"/>
      <c r="F54" s="3"/>
      <c r="G54" s="21" t="e">
        <f>+(F54-E54)/E54</f>
        <v>#DIV/0!</v>
      </c>
      <c r="H54" s="20">
        <f>+E54-F54</f>
        <v>0</v>
      </c>
      <c r="I54" s="7"/>
      <c r="J54" s="3"/>
      <c r="K54" s="3"/>
      <c r="L54" s="3"/>
      <c r="M54" s="3"/>
      <c r="N54" s="3"/>
      <c r="O54" s="21" t="e">
        <f>1-(N54/M54)</f>
        <v>#DIV/0!</v>
      </c>
      <c r="P54" s="3"/>
    </row>
    <row r="55" spans="2:16">
      <c r="B55" s="3" t="str">
        <f t="shared" si="2"/>
        <v>Oct</v>
      </c>
      <c r="C55" s="3">
        <f t="shared" si="1"/>
        <v>42</v>
      </c>
      <c r="D55" s="4">
        <v>46312</v>
      </c>
      <c r="E55" s="3"/>
      <c r="F55" s="3"/>
      <c r="G55" s="21" t="e">
        <f>+(F55-E55)/E55</f>
        <v>#DIV/0!</v>
      </c>
      <c r="H55" s="20">
        <f>+E55-F55</f>
        <v>0</v>
      </c>
      <c r="I55" s="7"/>
      <c r="J55" s="3"/>
      <c r="K55" s="3"/>
      <c r="L55" s="3"/>
      <c r="M55" s="3"/>
      <c r="N55" s="3"/>
      <c r="O55" s="21" t="e">
        <f>1-(N55/M55)</f>
        <v>#DIV/0!</v>
      </c>
      <c r="P55" s="3"/>
    </row>
    <row r="56" spans="2:16">
      <c r="B56" s="3" t="str">
        <f t="shared" si="2"/>
        <v>Oct</v>
      </c>
      <c r="C56" s="3">
        <f t="shared" si="1"/>
        <v>43</v>
      </c>
      <c r="D56" s="4">
        <v>46313</v>
      </c>
      <c r="E56" s="3"/>
      <c r="F56" s="3"/>
      <c r="G56" s="21" t="e">
        <f>+(F56-E56)/E56</f>
        <v>#DIV/0!</v>
      </c>
      <c r="H56" s="20">
        <f>+E56-F56</f>
        <v>0</v>
      </c>
      <c r="I56" s="7"/>
      <c r="J56" s="3"/>
      <c r="K56" s="3"/>
      <c r="L56" s="3"/>
      <c r="M56" s="3"/>
      <c r="N56" s="3"/>
      <c r="O56" s="21" t="e">
        <f>1-(N56/M56)</f>
        <v>#DIV/0!</v>
      </c>
      <c r="P56" s="3"/>
    </row>
    <row r="57" spans="2:16">
      <c r="B57" s="3" t="str">
        <f t="shared" si="2"/>
        <v>Oct</v>
      </c>
      <c r="C57" s="3">
        <f t="shared" si="1"/>
        <v>43</v>
      </c>
      <c r="D57" s="4">
        <v>46314</v>
      </c>
      <c r="E57" s="3"/>
      <c r="F57" s="3"/>
      <c r="G57" s="21" t="e">
        <f>+(F57-E57)/E57</f>
        <v>#DIV/0!</v>
      </c>
      <c r="H57" s="20">
        <f>+E57-F57</f>
        <v>0</v>
      </c>
      <c r="I57" s="7"/>
      <c r="J57" s="3"/>
      <c r="K57" s="3"/>
      <c r="L57" s="3"/>
      <c r="M57" s="3"/>
      <c r="N57" s="3"/>
      <c r="O57" s="21" t="e">
        <f>1-(N57/M57)</f>
        <v>#DIV/0!</v>
      </c>
      <c r="P57" s="3"/>
    </row>
    <row r="58" spans="2:16">
      <c r="B58" s="3" t="str">
        <f t="shared" si="2"/>
        <v>Oct</v>
      </c>
      <c r="C58" s="3">
        <f t="shared" si="1"/>
        <v>43</v>
      </c>
      <c r="D58" s="4">
        <v>46315</v>
      </c>
      <c r="E58" s="3"/>
      <c r="F58" s="3"/>
      <c r="G58" s="21" t="e">
        <f>+(F58-E58)/E58</f>
        <v>#DIV/0!</v>
      </c>
      <c r="H58" s="20">
        <f>+E58-F58</f>
        <v>0</v>
      </c>
      <c r="I58" s="7"/>
      <c r="J58" s="3"/>
      <c r="K58" s="3"/>
      <c r="L58" s="3"/>
      <c r="M58" s="3"/>
      <c r="N58" s="3"/>
      <c r="O58" s="21" t="e">
        <f>1-(N58/M58)</f>
        <v>#DIV/0!</v>
      </c>
      <c r="P58" s="3"/>
    </row>
    <row r="59" spans="2:16">
      <c r="B59" s="3" t="str">
        <f t="shared" si="2"/>
        <v>Oct</v>
      </c>
      <c r="C59" s="3">
        <f t="shared" si="1"/>
        <v>43</v>
      </c>
      <c r="D59" s="4">
        <v>46316</v>
      </c>
      <c r="E59" s="3"/>
      <c r="F59" s="3"/>
      <c r="G59" s="21" t="e">
        <f>+(F59-E59)/E59</f>
        <v>#DIV/0!</v>
      </c>
      <c r="H59" s="20">
        <f>+E59-F59</f>
        <v>0</v>
      </c>
      <c r="I59" s="7"/>
      <c r="J59" s="3"/>
      <c r="K59" s="3"/>
      <c r="L59" s="3"/>
      <c r="M59" s="3"/>
      <c r="N59" s="3"/>
      <c r="O59" s="21" t="e">
        <f>1-(N59/M59)</f>
        <v>#DIV/0!</v>
      </c>
      <c r="P59" s="3"/>
    </row>
    <row r="60" spans="2:16">
      <c r="B60" s="3" t="str">
        <f t="shared" si="2"/>
        <v>Oct</v>
      </c>
      <c r="C60" s="3">
        <f t="shared" si="1"/>
        <v>43</v>
      </c>
      <c r="D60" s="4">
        <v>46317</v>
      </c>
      <c r="E60" s="3"/>
      <c r="F60" s="3"/>
      <c r="G60" s="21" t="e">
        <f>+(F60-E60)/E60</f>
        <v>#DIV/0!</v>
      </c>
      <c r="H60" s="20">
        <f>+E60-F60</f>
        <v>0</v>
      </c>
      <c r="I60" s="7"/>
      <c r="J60" s="3"/>
      <c r="K60" s="3"/>
      <c r="L60" s="3"/>
      <c r="M60" s="3"/>
      <c r="N60" s="3"/>
      <c r="O60" s="21" t="e">
        <f>1-(N60/M60)</f>
        <v>#DIV/0!</v>
      </c>
      <c r="P60" s="3"/>
    </row>
    <row r="61" spans="2:16">
      <c r="B61" s="3" t="str">
        <f t="shared" si="2"/>
        <v>Oct</v>
      </c>
      <c r="C61" s="3">
        <f t="shared" si="1"/>
        <v>43</v>
      </c>
      <c r="D61" s="4">
        <v>46318</v>
      </c>
      <c r="E61" s="3"/>
      <c r="F61" s="3"/>
      <c r="G61" s="21" t="e">
        <f>+(F61-E61)/E61</f>
        <v>#DIV/0!</v>
      </c>
      <c r="H61" s="20">
        <f>+E61-F61</f>
        <v>0</v>
      </c>
      <c r="I61" s="7"/>
      <c r="J61" s="3"/>
      <c r="K61" s="3"/>
      <c r="L61" s="3"/>
      <c r="M61" s="3"/>
      <c r="N61" s="3"/>
      <c r="O61" s="21" t="e">
        <f>1-(N61/M61)</f>
        <v>#DIV/0!</v>
      </c>
      <c r="P61" s="3"/>
    </row>
    <row r="62" spans="2:16">
      <c r="B62" s="3" t="str">
        <f t="shared" si="2"/>
        <v>Oct</v>
      </c>
      <c r="C62" s="3">
        <f t="shared" si="1"/>
        <v>43</v>
      </c>
      <c r="D62" s="4">
        <v>46319</v>
      </c>
      <c r="E62" s="3"/>
      <c r="F62" s="3"/>
      <c r="G62" s="21" t="e">
        <f>+(F62-E62)/E62</f>
        <v>#DIV/0!</v>
      </c>
      <c r="H62" s="20">
        <f>+E62-F62</f>
        <v>0</v>
      </c>
      <c r="I62" s="7"/>
      <c r="J62" s="3"/>
      <c r="K62" s="3"/>
      <c r="L62" s="3"/>
      <c r="M62" s="3"/>
      <c r="N62" s="3"/>
      <c r="O62" s="21" t="e">
        <f>1-(N62/M62)</f>
        <v>#DIV/0!</v>
      </c>
      <c r="P62" s="3"/>
    </row>
    <row r="63" spans="2:16">
      <c r="B63" s="3" t="str">
        <f t="shared" si="2"/>
        <v>Oct</v>
      </c>
      <c r="C63" s="3">
        <f t="shared" si="1"/>
        <v>44</v>
      </c>
      <c r="D63" s="4">
        <v>46320</v>
      </c>
      <c r="E63" s="3"/>
      <c r="F63" s="3"/>
      <c r="G63" s="21" t="e">
        <f>+(F63-E63)/E63</f>
        <v>#DIV/0!</v>
      </c>
      <c r="H63" s="20">
        <f>+E63-F63</f>
        <v>0</v>
      </c>
      <c r="I63" s="7"/>
      <c r="J63" s="3"/>
      <c r="K63" s="3"/>
      <c r="L63" s="3"/>
      <c r="M63" s="3"/>
      <c r="N63" s="3"/>
      <c r="O63" s="21" t="e">
        <f>1-(N63/M63)</f>
        <v>#DIV/0!</v>
      </c>
      <c r="P63" s="3"/>
    </row>
    <row r="64" spans="2:16">
      <c r="B64" s="3" t="str">
        <f t="shared" si="2"/>
        <v>Oct</v>
      </c>
      <c r="C64" s="3">
        <f t="shared" si="1"/>
        <v>44</v>
      </c>
      <c r="D64" s="4">
        <v>46321</v>
      </c>
      <c r="E64" s="3"/>
      <c r="F64" s="3"/>
      <c r="G64" s="21" t="e">
        <f>+(F64-E64)/E64</f>
        <v>#DIV/0!</v>
      </c>
      <c r="H64" s="20">
        <f>+E64-F64</f>
        <v>0</v>
      </c>
      <c r="I64" s="7"/>
      <c r="J64" s="3"/>
      <c r="K64" s="3"/>
      <c r="L64" s="3"/>
      <c r="M64" s="3"/>
      <c r="N64" s="3"/>
      <c r="O64" s="21" t="e">
        <f>1-(N64/M64)</f>
        <v>#DIV/0!</v>
      </c>
      <c r="P64" s="3"/>
    </row>
    <row r="65" spans="2:16">
      <c r="B65" s="3" t="str">
        <f t="shared" si="2"/>
        <v>Oct</v>
      </c>
      <c r="C65" s="3">
        <f t="shared" si="1"/>
        <v>44</v>
      </c>
      <c r="D65" s="4">
        <v>46322</v>
      </c>
      <c r="E65" s="3"/>
      <c r="F65" s="3"/>
      <c r="G65" s="21" t="e">
        <f>+(F65-E65)/E65</f>
        <v>#DIV/0!</v>
      </c>
      <c r="H65" s="20">
        <f>+E65-F65</f>
        <v>0</v>
      </c>
      <c r="I65" s="7"/>
      <c r="J65" s="3"/>
      <c r="K65" s="3"/>
      <c r="L65" s="3"/>
      <c r="M65" s="3"/>
      <c r="N65" s="3"/>
      <c r="O65" s="21" t="e">
        <f>1-(N65/M65)</f>
        <v>#DIV/0!</v>
      </c>
      <c r="P65" s="3"/>
    </row>
    <row r="66" spans="2:16">
      <c r="B66" s="3" t="str">
        <f t="shared" si="2"/>
        <v>Oct</v>
      </c>
      <c r="C66" s="3">
        <f t="shared" si="1"/>
        <v>44</v>
      </c>
      <c r="D66" s="4">
        <v>46323</v>
      </c>
      <c r="E66" s="3"/>
      <c r="F66" s="3"/>
      <c r="G66" s="21" t="e">
        <f>+(F66-E66)/E66</f>
        <v>#DIV/0!</v>
      </c>
      <c r="H66" s="20">
        <f>+E66-F66</f>
        <v>0</v>
      </c>
      <c r="I66" s="7"/>
      <c r="J66" s="3"/>
      <c r="K66" s="3"/>
      <c r="L66" s="3"/>
      <c r="M66" s="3"/>
      <c r="N66" s="3"/>
      <c r="O66" s="21" t="e">
        <f>1-(N66/M66)</f>
        <v>#DIV/0!</v>
      </c>
      <c r="P66" s="3"/>
    </row>
    <row r="67" spans="2:16">
      <c r="B67" s="3" t="str">
        <f t="shared" si="2"/>
        <v>Oct</v>
      </c>
      <c r="C67" s="3">
        <f t="shared" si="1"/>
        <v>44</v>
      </c>
      <c r="D67" s="4">
        <v>46324</v>
      </c>
      <c r="E67" s="3"/>
      <c r="F67" s="3"/>
      <c r="G67" s="21" t="e">
        <f>+(F67-E67)/E67</f>
        <v>#DIV/0!</v>
      </c>
      <c r="H67" s="20">
        <f>+E67-F67</f>
        <v>0</v>
      </c>
      <c r="I67" s="7"/>
      <c r="J67" s="3"/>
      <c r="K67" s="3"/>
      <c r="L67" s="3"/>
      <c r="M67" s="3"/>
      <c r="N67" s="3"/>
      <c r="O67" s="21" t="e">
        <f>1-(N67/M67)</f>
        <v>#DIV/0!</v>
      </c>
      <c r="P67" s="3"/>
    </row>
    <row r="68" spans="2:16">
      <c r="B68" s="3" t="str">
        <f t="shared" si="2"/>
        <v>Oct</v>
      </c>
      <c r="C68" s="3">
        <f t="shared" ref="C68:C130" si="3">+WEEKNUM(D68)</f>
        <v>44</v>
      </c>
      <c r="D68" s="4">
        <v>46325</v>
      </c>
      <c r="E68" s="3"/>
      <c r="F68" s="3"/>
      <c r="G68" s="21" t="e">
        <f>+(F68-E68)/E68</f>
        <v>#DIV/0!</v>
      </c>
      <c r="H68" s="20">
        <f>+E68-F68</f>
        <v>0</v>
      </c>
      <c r="I68" s="7"/>
      <c r="J68" s="3"/>
      <c r="K68" s="3"/>
      <c r="L68" s="3"/>
      <c r="M68" s="3"/>
      <c r="N68" s="3"/>
      <c r="O68" s="21" t="e">
        <f>1-(N68/M68)</f>
        <v>#DIV/0!</v>
      </c>
      <c r="P68" s="3"/>
    </row>
    <row r="69" spans="2:16">
      <c r="B69" s="3" t="str">
        <f t="shared" si="2"/>
        <v>Oct</v>
      </c>
      <c r="C69" s="3">
        <f t="shared" si="3"/>
        <v>44</v>
      </c>
      <c r="D69" s="4">
        <v>46326</v>
      </c>
      <c r="E69" s="3"/>
      <c r="F69" s="3"/>
      <c r="G69" s="21" t="e">
        <f>+(F69-E69)/E69</f>
        <v>#DIV/0!</v>
      </c>
      <c r="H69" s="20">
        <f>+E69-F69</f>
        <v>0</v>
      </c>
      <c r="I69" s="7"/>
      <c r="J69" s="3"/>
      <c r="K69" s="3"/>
      <c r="L69" s="3"/>
      <c r="M69" s="3"/>
      <c r="N69" s="3"/>
      <c r="O69" s="21" t="e">
        <f>1-(N69/M69)</f>
        <v>#DIV/0!</v>
      </c>
      <c r="P69" s="3"/>
    </row>
    <row r="70" spans="2:16">
      <c r="B70" s="3" t="str">
        <f t="shared" si="2"/>
        <v>Nov</v>
      </c>
      <c r="C70" s="3">
        <f t="shared" si="3"/>
        <v>45</v>
      </c>
      <c r="D70" s="4">
        <v>46327</v>
      </c>
      <c r="E70" s="3"/>
      <c r="F70" s="3"/>
      <c r="G70" s="21" t="e">
        <f>+(F70-E70)/E70</f>
        <v>#DIV/0!</v>
      </c>
      <c r="H70" s="20">
        <f>+E70-F70</f>
        <v>0</v>
      </c>
      <c r="I70" s="7"/>
      <c r="J70" s="3"/>
      <c r="K70" s="3"/>
      <c r="L70" s="3"/>
      <c r="M70" s="3"/>
      <c r="N70" s="3"/>
      <c r="O70" s="21" t="e">
        <f>1-(N70/M70)</f>
        <v>#DIV/0!</v>
      </c>
      <c r="P70" s="3"/>
    </row>
    <row r="71" spans="2:16">
      <c r="B71" s="3" t="str">
        <f t="shared" ref="B71:B130" si="4">+TEXT(D71,"MMM")</f>
        <v>Nov</v>
      </c>
      <c r="C71" s="3">
        <f t="shared" si="3"/>
        <v>45</v>
      </c>
      <c r="D71" s="4">
        <v>46328</v>
      </c>
      <c r="E71" s="3"/>
      <c r="F71" s="3"/>
      <c r="G71" s="21" t="e">
        <f>+(F71-E71)/E71</f>
        <v>#DIV/0!</v>
      </c>
      <c r="H71" s="20">
        <f>+E71-F71</f>
        <v>0</v>
      </c>
      <c r="I71" s="7"/>
      <c r="J71" s="3"/>
      <c r="K71" s="3"/>
      <c r="L71" s="3"/>
      <c r="M71" s="3"/>
      <c r="N71" s="3"/>
      <c r="O71" s="21" t="e">
        <f>1-(N71/M71)</f>
        <v>#DIV/0!</v>
      </c>
      <c r="P71" s="3"/>
    </row>
    <row r="72" spans="2:16">
      <c r="B72" s="3" t="str">
        <f t="shared" si="4"/>
        <v>Nov</v>
      </c>
      <c r="C72" s="3">
        <f t="shared" si="3"/>
        <v>45</v>
      </c>
      <c r="D72" s="4">
        <v>46329</v>
      </c>
      <c r="E72" s="3"/>
      <c r="F72" s="3"/>
      <c r="G72" s="21" t="e">
        <f>+(F72-E72)/E72</f>
        <v>#DIV/0!</v>
      </c>
      <c r="H72" s="20">
        <f>+E72-F72</f>
        <v>0</v>
      </c>
      <c r="I72" s="7"/>
      <c r="J72" s="3"/>
      <c r="K72" s="3"/>
      <c r="L72" s="3"/>
      <c r="M72" s="3"/>
      <c r="N72" s="3"/>
      <c r="O72" s="21" t="e">
        <f>1-(N72/M72)</f>
        <v>#DIV/0!</v>
      </c>
      <c r="P72" s="3"/>
    </row>
    <row r="73" spans="2:16">
      <c r="B73" s="3" t="str">
        <f t="shared" si="4"/>
        <v>Nov</v>
      </c>
      <c r="C73" s="3">
        <f t="shared" si="3"/>
        <v>45</v>
      </c>
      <c r="D73" s="4">
        <v>46330</v>
      </c>
      <c r="E73" s="3"/>
      <c r="F73" s="3"/>
      <c r="G73" s="21" t="e">
        <f>+(F73-E73)/E73</f>
        <v>#DIV/0!</v>
      </c>
      <c r="H73" s="20">
        <f>+E73-F73</f>
        <v>0</v>
      </c>
      <c r="I73" s="7"/>
      <c r="J73" s="3"/>
      <c r="K73" s="3"/>
      <c r="L73" s="3"/>
      <c r="M73" s="3"/>
      <c r="N73" s="3"/>
      <c r="O73" s="21" t="e">
        <f>1-(N73/M73)</f>
        <v>#DIV/0!</v>
      </c>
      <c r="P73" s="3"/>
    </row>
    <row r="74" spans="2:16">
      <c r="B74" s="3" t="str">
        <f t="shared" si="4"/>
        <v>Nov</v>
      </c>
      <c r="C74" s="3">
        <f t="shared" si="3"/>
        <v>45</v>
      </c>
      <c r="D74" s="4">
        <v>46331</v>
      </c>
      <c r="E74" s="3"/>
      <c r="F74" s="3"/>
      <c r="G74" s="21" t="e">
        <f>+(F74-E74)/E74</f>
        <v>#DIV/0!</v>
      </c>
      <c r="H74" s="20">
        <f>+E74-F74</f>
        <v>0</v>
      </c>
      <c r="I74" s="7"/>
      <c r="J74" s="3"/>
      <c r="K74" s="3"/>
      <c r="L74" s="3"/>
      <c r="M74" s="3"/>
      <c r="N74" s="3"/>
      <c r="O74" s="21" t="e">
        <f>1-(N74/M74)</f>
        <v>#DIV/0!</v>
      </c>
      <c r="P74" s="3"/>
    </row>
    <row r="75" spans="2:16">
      <c r="B75" s="3" t="str">
        <f t="shared" si="4"/>
        <v>Nov</v>
      </c>
      <c r="C75" s="3">
        <f t="shared" si="3"/>
        <v>45</v>
      </c>
      <c r="D75" s="4">
        <v>46332</v>
      </c>
      <c r="E75" s="3"/>
      <c r="F75" s="3"/>
      <c r="G75" s="21" t="e">
        <f>+(F75-E75)/E75</f>
        <v>#DIV/0!</v>
      </c>
      <c r="H75" s="20">
        <f>+E75-F75</f>
        <v>0</v>
      </c>
      <c r="I75" s="7"/>
      <c r="J75" s="3"/>
      <c r="K75" s="3"/>
      <c r="L75" s="3"/>
      <c r="M75" s="3"/>
      <c r="N75" s="3"/>
      <c r="O75" s="21" t="e">
        <f>1-(N75/M75)</f>
        <v>#DIV/0!</v>
      </c>
      <c r="P75" s="3"/>
    </row>
    <row r="76" spans="2:16">
      <c r="B76" s="3" t="str">
        <f t="shared" si="4"/>
        <v>Nov</v>
      </c>
      <c r="C76" s="3">
        <f t="shared" si="3"/>
        <v>45</v>
      </c>
      <c r="D76" s="4">
        <v>46333</v>
      </c>
      <c r="E76" s="3"/>
      <c r="F76" s="3"/>
      <c r="G76" s="21" t="e">
        <f>+(F76-E76)/E76</f>
        <v>#DIV/0!</v>
      </c>
      <c r="H76" s="20">
        <f>+E76-F76</f>
        <v>0</v>
      </c>
      <c r="I76" s="7"/>
      <c r="J76" s="3"/>
      <c r="K76" s="3"/>
      <c r="L76" s="3"/>
      <c r="M76" s="3"/>
      <c r="N76" s="3"/>
      <c r="O76" s="21" t="e">
        <f>1-(N76/M76)</f>
        <v>#DIV/0!</v>
      </c>
      <c r="P76" s="3"/>
    </row>
    <row r="77" spans="2:16">
      <c r="B77" s="3" t="str">
        <f t="shared" si="4"/>
        <v>Nov</v>
      </c>
      <c r="C77" s="3">
        <f t="shared" si="3"/>
        <v>46</v>
      </c>
      <c r="D77" s="4">
        <v>46334</v>
      </c>
      <c r="E77" s="3"/>
      <c r="F77" s="3"/>
      <c r="G77" s="21" t="e">
        <f>+(F77-E77)/E77</f>
        <v>#DIV/0!</v>
      </c>
      <c r="H77" s="20">
        <f>+E77-F77</f>
        <v>0</v>
      </c>
      <c r="I77" s="7"/>
      <c r="J77" s="3"/>
      <c r="K77" s="3"/>
      <c r="L77" s="3"/>
      <c r="M77" s="3"/>
      <c r="N77" s="3"/>
      <c r="O77" s="21" t="e">
        <f>1-(N77/M77)</f>
        <v>#DIV/0!</v>
      </c>
      <c r="P77" s="3"/>
    </row>
    <row r="78" spans="2:16">
      <c r="B78" s="3" t="str">
        <f t="shared" si="4"/>
        <v>Nov</v>
      </c>
      <c r="C78" s="3">
        <f t="shared" si="3"/>
        <v>46</v>
      </c>
      <c r="D78" s="4">
        <v>46335</v>
      </c>
      <c r="E78" s="3"/>
      <c r="F78" s="3"/>
      <c r="G78" s="21" t="e">
        <f>+(F78-E78)/E78</f>
        <v>#DIV/0!</v>
      </c>
      <c r="H78" s="20">
        <f>+E78-F78</f>
        <v>0</v>
      </c>
      <c r="I78" s="7"/>
      <c r="J78" s="3"/>
      <c r="K78" s="3"/>
      <c r="L78" s="3"/>
      <c r="M78" s="3"/>
      <c r="N78" s="3"/>
      <c r="O78" s="21" t="e">
        <f>1-(N78/M78)</f>
        <v>#DIV/0!</v>
      </c>
      <c r="P78" s="3"/>
    </row>
    <row r="79" spans="2:16">
      <c r="B79" s="3" t="str">
        <f t="shared" si="4"/>
        <v>Nov</v>
      </c>
      <c r="C79" s="3">
        <f t="shared" si="3"/>
        <v>46</v>
      </c>
      <c r="D79" s="4">
        <v>46336</v>
      </c>
      <c r="E79" s="3"/>
      <c r="F79" s="3"/>
      <c r="G79" s="21" t="e">
        <f>+(F79-E79)/E79</f>
        <v>#DIV/0!</v>
      </c>
      <c r="H79" s="20">
        <f>+E79-F79</f>
        <v>0</v>
      </c>
      <c r="I79" s="7"/>
      <c r="J79" s="3"/>
      <c r="K79" s="3"/>
      <c r="L79" s="3"/>
      <c r="M79" s="3"/>
      <c r="N79" s="3"/>
      <c r="O79" s="21" t="e">
        <f>1-(N79/M79)</f>
        <v>#DIV/0!</v>
      </c>
      <c r="P79" s="3"/>
    </row>
    <row r="80" spans="2:16">
      <c r="B80" s="3" t="str">
        <f t="shared" si="4"/>
        <v>Nov</v>
      </c>
      <c r="C80" s="3">
        <f t="shared" si="3"/>
        <v>46</v>
      </c>
      <c r="D80" s="4">
        <v>46337</v>
      </c>
      <c r="E80" s="3"/>
      <c r="F80" s="3"/>
      <c r="G80" s="21" t="e">
        <f>+(F80-E80)/E80</f>
        <v>#DIV/0!</v>
      </c>
      <c r="H80" s="20">
        <f>+E80-F80</f>
        <v>0</v>
      </c>
      <c r="I80" s="7"/>
      <c r="J80" s="3"/>
      <c r="K80" s="3"/>
      <c r="L80" s="3"/>
      <c r="M80" s="3"/>
      <c r="N80" s="3"/>
      <c r="O80" s="21" t="e">
        <f>1-(N80/M80)</f>
        <v>#DIV/0!</v>
      </c>
      <c r="P80" s="3"/>
    </row>
    <row r="81" spans="2:16">
      <c r="B81" s="3" t="str">
        <f t="shared" si="4"/>
        <v>Nov</v>
      </c>
      <c r="C81" s="3">
        <f t="shared" si="3"/>
        <v>46</v>
      </c>
      <c r="D81" s="4">
        <v>46338</v>
      </c>
      <c r="E81" s="3"/>
      <c r="F81" s="3"/>
      <c r="G81" s="21" t="e">
        <f>+(F81-E81)/E81</f>
        <v>#DIV/0!</v>
      </c>
      <c r="H81" s="20">
        <f>+E81-F81</f>
        <v>0</v>
      </c>
      <c r="I81" s="7"/>
      <c r="J81" s="3"/>
      <c r="K81" s="3"/>
      <c r="L81" s="3"/>
      <c r="M81" s="3"/>
      <c r="N81" s="3"/>
      <c r="O81" s="21" t="e">
        <f>1-(N81/M81)</f>
        <v>#DIV/0!</v>
      </c>
      <c r="P81" s="3"/>
    </row>
    <row r="82" spans="2:16">
      <c r="B82" s="3" t="str">
        <f t="shared" si="4"/>
        <v>Nov</v>
      </c>
      <c r="C82" s="3">
        <f t="shared" si="3"/>
        <v>46</v>
      </c>
      <c r="D82" s="4">
        <v>46339</v>
      </c>
      <c r="E82" s="3"/>
      <c r="F82" s="3"/>
      <c r="G82" s="21" t="e">
        <f>+(F82-E82)/E82</f>
        <v>#DIV/0!</v>
      </c>
      <c r="H82" s="20">
        <f>+E82-F82</f>
        <v>0</v>
      </c>
      <c r="I82" s="7"/>
      <c r="J82" s="3"/>
      <c r="K82" s="3"/>
      <c r="L82" s="3"/>
      <c r="M82" s="3"/>
      <c r="N82" s="3"/>
      <c r="O82" s="21" t="e">
        <f>1-(N82/M82)</f>
        <v>#DIV/0!</v>
      </c>
      <c r="P82" s="3"/>
    </row>
    <row r="83" spans="2:16">
      <c r="B83" s="3" t="str">
        <f t="shared" si="4"/>
        <v>Nov</v>
      </c>
      <c r="C83" s="3">
        <f t="shared" si="3"/>
        <v>46</v>
      </c>
      <c r="D83" s="4">
        <v>46340</v>
      </c>
      <c r="E83" s="3"/>
      <c r="F83" s="3"/>
      <c r="G83" s="21" t="e">
        <f>+(F83-E83)/E83</f>
        <v>#DIV/0!</v>
      </c>
      <c r="H83" s="20">
        <f>+E83-F83</f>
        <v>0</v>
      </c>
      <c r="I83" s="7"/>
      <c r="J83" s="3"/>
      <c r="K83" s="3"/>
      <c r="L83" s="3"/>
      <c r="M83" s="3"/>
      <c r="N83" s="3"/>
      <c r="O83" s="21" t="e">
        <f>1-(N83/M83)</f>
        <v>#DIV/0!</v>
      </c>
      <c r="P83" s="3"/>
    </row>
    <row r="84" spans="2:16">
      <c r="B84" s="3" t="str">
        <f t="shared" si="4"/>
        <v>Nov</v>
      </c>
      <c r="C84" s="3">
        <f t="shared" si="3"/>
        <v>47</v>
      </c>
      <c r="D84" s="4">
        <v>46341</v>
      </c>
      <c r="E84" s="3"/>
      <c r="F84" s="3"/>
      <c r="G84" s="21" t="e">
        <f>+(F84-E84)/E84</f>
        <v>#DIV/0!</v>
      </c>
      <c r="H84" s="20">
        <f>+E84-F84</f>
        <v>0</v>
      </c>
      <c r="I84" s="7"/>
      <c r="J84" s="3"/>
      <c r="K84" s="3"/>
      <c r="L84" s="3"/>
      <c r="M84" s="3"/>
      <c r="N84" s="3"/>
      <c r="O84" s="21" t="e">
        <f>1-(N84/M84)</f>
        <v>#DIV/0!</v>
      </c>
      <c r="P84" s="3"/>
    </row>
    <row r="85" spans="2:16">
      <c r="B85" s="3" t="str">
        <f t="shared" si="4"/>
        <v>Nov</v>
      </c>
      <c r="C85" s="3">
        <f t="shared" si="3"/>
        <v>47</v>
      </c>
      <c r="D85" s="4">
        <v>46342</v>
      </c>
      <c r="E85" s="3"/>
      <c r="F85" s="3"/>
      <c r="G85" s="21" t="e">
        <f>+(F85-E85)/E85</f>
        <v>#DIV/0!</v>
      </c>
      <c r="H85" s="20">
        <f>+E85-F85</f>
        <v>0</v>
      </c>
      <c r="I85" s="7"/>
      <c r="J85" s="3"/>
      <c r="K85" s="3"/>
      <c r="L85" s="3"/>
      <c r="M85" s="3"/>
      <c r="N85" s="3"/>
      <c r="O85" s="21" t="e">
        <f>1-(N85/M85)</f>
        <v>#DIV/0!</v>
      </c>
      <c r="P85" s="3"/>
    </row>
    <row r="86" spans="2:16">
      <c r="B86" s="3" t="str">
        <f t="shared" si="4"/>
        <v>Nov</v>
      </c>
      <c r="C86" s="3">
        <f t="shared" si="3"/>
        <v>47</v>
      </c>
      <c r="D86" s="4">
        <v>46343</v>
      </c>
      <c r="E86" s="3"/>
      <c r="F86" s="3"/>
      <c r="G86" s="21" t="e">
        <f>+(F86-E86)/E86</f>
        <v>#DIV/0!</v>
      </c>
      <c r="H86" s="20">
        <f>+E86-F86</f>
        <v>0</v>
      </c>
      <c r="I86" s="7"/>
      <c r="J86" s="3"/>
      <c r="K86" s="3"/>
      <c r="L86" s="3"/>
      <c r="M86" s="3"/>
      <c r="N86" s="3"/>
      <c r="O86" s="21" t="e">
        <f>1-(N86/M86)</f>
        <v>#DIV/0!</v>
      </c>
      <c r="P86" s="3"/>
    </row>
    <row r="87" spans="2:16">
      <c r="B87" s="3" t="str">
        <f t="shared" si="4"/>
        <v>Nov</v>
      </c>
      <c r="C87" s="3">
        <f t="shared" si="3"/>
        <v>47</v>
      </c>
      <c r="D87" s="4">
        <v>46344</v>
      </c>
      <c r="E87" s="3"/>
      <c r="F87" s="3"/>
      <c r="G87" s="21" t="e">
        <f>+(F87-E87)/E87</f>
        <v>#DIV/0!</v>
      </c>
      <c r="H87" s="20">
        <f>+E87-F87</f>
        <v>0</v>
      </c>
      <c r="I87" s="7"/>
      <c r="J87" s="3"/>
      <c r="K87" s="3"/>
      <c r="L87" s="3"/>
      <c r="M87" s="3"/>
      <c r="N87" s="3"/>
      <c r="O87" s="21" t="e">
        <f>1-(N87/M87)</f>
        <v>#DIV/0!</v>
      </c>
      <c r="P87" s="3"/>
    </row>
    <row r="88" spans="2:16">
      <c r="B88" s="3" t="str">
        <f t="shared" si="4"/>
        <v>Nov</v>
      </c>
      <c r="C88" s="3">
        <f t="shared" si="3"/>
        <v>47</v>
      </c>
      <c r="D88" s="4">
        <v>46345</v>
      </c>
      <c r="E88" s="3"/>
      <c r="F88" s="3"/>
      <c r="G88" s="21" t="e">
        <f>+(F88-E88)/E88</f>
        <v>#DIV/0!</v>
      </c>
      <c r="H88" s="20">
        <f>+E88-F88</f>
        <v>0</v>
      </c>
      <c r="I88" s="7"/>
      <c r="J88" s="3"/>
      <c r="K88" s="3"/>
      <c r="L88" s="3"/>
      <c r="M88" s="3"/>
      <c r="N88" s="3"/>
      <c r="O88" s="21" t="e">
        <f>1-(N88/M88)</f>
        <v>#DIV/0!</v>
      </c>
      <c r="P88" s="3"/>
    </row>
    <row r="89" spans="2:16">
      <c r="B89" s="3" t="str">
        <f t="shared" si="4"/>
        <v>Nov</v>
      </c>
      <c r="C89" s="3">
        <f t="shared" si="3"/>
        <v>47</v>
      </c>
      <c r="D89" s="4">
        <v>46346</v>
      </c>
      <c r="E89" s="3"/>
      <c r="F89" s="3"/>
      <c r="G89" s="21" t="e">
        <f>+(F89-E89)/E89</f>
        <v>#DIV/0!</v>
      </c>
      <c r="H89" s="20">
        <f>+E89-F89</f>
        <v>0</v>
      </c>
      <c r="I89" s="7"/>
      <c r="J89" s="3"/>
      <c r="K89" s="3"/>
      <c r="L89" s="3"/>
      <c r="M89" s="3"/>
      <c r="N89" s="3"/>
      <c r="O89" s="21" t="e">
        <f>1-(N89/M89)</f>
        <v>#DIV/0!</v>
      </c>
      <c r="P89" s="3"/>
    </row>
    <row r="90" spans="2:16">
      <c r="B90" s="3" t="str">
        <f t="shared" si="4"/>
        <v>Nov</v>
      </c>
      <c r="C90" s="3">
        <f t="shared" si="3"/>
        <v>47</v>
      </c>
      <c r="D90" s="4">
        <v>46347</v>
      </c>
      <c r="E90" s="3"/>
      <c r="F90" s="3"/>
      <c r="G90" s="21" t="e">
        <f>+(F90-E90)/E90</f>
        <v>#DIV/0!</v>
      </c>
      <c r="H90" s="20">
        <f>+E90-F90</f>
        <v>0</v>
      </c>
      <c r="I90" s="7"/>
      <c r="J90" s="3"/>
      <c r="K90" s="3"/>
      <c r="L90" s="3"/>
      <c r="M90" s="3"/>
      <c r="N90" s="3"/>
      <c r="O90" s="21" t="e">
        <f>1-(N90/M90)</f>
        <v>#DIV/0!</v>
      </c>
      <c r="P90" s="3"/>
    </row>
    <row r="91" spans="2:16">
      <c r="B91" s="3" t="str">
        <f t="shared" si="4"/>
        <v>Nov</v>
      </c>
      <c r="C91" s="3">
        <f t="shared" si="3"/>
        <v>48</v>
      </c>
      <c r="D91" s="4">
        <v>46348</v>
      </c>
      <c r="E91" s="3"/>
      <c r="F91" s="3"/>
      <c r="G91" s="21" t="e">
        <f>+(F91-E91)/E91</f>
        <v>#DIV/0!</v>
      </c>
      <c r="H91" s="20">
        <f>+E91-F91</f>
        <v>0</v>
      </c>
      <c r="I91" s="7"/>
      <c r="J91" s="3"/>
      <c r="K91" s="3"/>
      <c r="L91" s="3"/>
      <c r="M91" s="3"/>
      <c r="N91" s="3"/>
      <c r="O91" s="21" t="e">
        <f>1-(N91/M91)</f>
        <v>#DIV/0!</v>
      </c>
      <c r="P91" s="3"/>
    </row>
    <row r="92" spans="2:16">
      <c r="B92" s="3" t="str">
        <f t="shared" si="4"/>
        <v>Nov</v>
      </c>
      <c r="C92" s="3">
        <f t="shared" si="3"/>
        <v>48</v>
      </c>
      <c r="D92" s="4">
        <v>46349</v>
      </c>
      <c r="E92" s="3"/>
      <c r="F92" s="3"/>
      <c r="G92" s="21" t="e">
        <f>+(F92-E92)/E92</f>
        <v>#DIV/0!</v>
      </c>
      <c r="H92" s="20">
        <f>+E92-F92</f>
        <v>0</v>
      </c>
      <c r="I92" s="7"/>
      <c r="J92" s="3"/>
      <c r="K92" s="3"/>
      <c r="L92" s="3"/>
      <c r="M92" s="3"/>
      <c r="N92" s="3"/>
      <c r="O92" s="21" t="e">
        <f>1-(N92/M92)</f>
        <v>#DIV/0!</v>
      </c>
      <c r="P92" s="3"/>
    </row>
    <row r="93" spans="2:16">
      <c r="B93" s="3" t="str">
        <f t="shared" si="4"/>
        <v>Nov</v>
      </c>
      <c r="C93" s="3">
        <f t="shared" si="3"/>
        <v>48</v>
      </c>
      <c r="D93" s="4">
        <v>46350</v>
      </c>
      <c r="E93" s="3"/>
      <c r="F93" s="3"/>
      <c r="G93" s="21" t="e">
        <f>+(F93-E93)/E93</f>
        <v>#DIV/0!</v>
      </c>
      <c r="H93" s="20">
        <f>+E93-F93</f>
        <v>0</v>
      </c>
      <c r="I93" s="7"/>
      <c r="J93" s="3"/>
      <c r="K93" s="3"/>
      <c r="L93" s="3"/>
      <c r="M93" s="3"/>
      <c r="N93" s="3"/>
      <c r="O93" s="21" t="e">
        <f>1-(N93/M93)</f>
        <v>#DIV/0!</v>
      </c>
      <c r="P93" s="3"/>
    </row>
    <row r="94" spans="2:16">
      <c r="B94" s="3" t="str">
        <f t="shared" si="4"/>
        <v>Nov</v>
      </c>
      <c r="C94" s="3">
        <f t="shared" si="3"/>
        <v>48</v>
      </c>
      <c r="D94" s="4">
        <v>46351</v>
      </c>
      <c r="E94" s="3"/>
      <c r="F94" s="3"/>
      <c r="G94" s="21" t="e">
        <f>+(F94-E94)/E94</f>
        <v>#DIV/0!</v>
      </c>
      <c r="H94" s="20">
        <f>+E94-F94</f>
        <v>0</v>
      </c>
      <c r="I94" s="7"/>
      <c r="J94" s="3"/>
      <c r="K94" s="3"/>
      <c r="L94" s="3"/>
      <c r="M94" s="3"/>
      <c r="N94" s="3"/>
      <c r="O94" s="21" t="e">
        <f>1-(N94/M94)</f>
        <v>#DIV/0!</v>
      </c>
      <c r="P94" s="3"/>
    </row>
    <row r="95" spans="2:16">
      <c r="B95" s="3" t="str">
        <f t="shared" si="4"/>
        <v>Nov</v>
      </c>
      <c r="C95" s="3">
        <f t="shared" si="3"/>
        <v>48</v>
      </c>
      <c r="D95" s="4">
        <v>46352</v>
      </c>
      <c r="E95" s="3"/>
      <c r="F95" s="3"/>
      <c r="G95" s="21" t="e">
        <f>+(F95-E95)/E95</f>
        <v>#DIV/0!</v>
      </c>
      <c r="H95" s="20">
        <f>+E95-F95</f>
        <v>0</v>
      </c>
      <c r="I95" s="7"/>
      <c r="J95" s="3"/>
      <c r="K95" s="3"/>
      <c r="L95" s="3"/>
      <c r="M95" s="3"/>
      <c r="N95" s="3"/>
      <c r="O95" s="21" t="e">
        <f>1-(N95/M95)</f>
        <v>#DIV/0!</v>
      </c>
      <c r="P95" s="3"/>
    </row>
    <row r="96" spans="2:16">
      <c r="B96" s="3" t="str">
        <f t="shared" si="4"/>
        <v>Nov</v>
      </c>
      <c r="C96" s="3">
        <f t="shared" si="3"/>
        <v>48</v>
      </c>
      <c r="D96" s="4">
        <v>46353</v>
      </c>
      <c r="E96" s="3"/>
      <c r="F96" s="3"/>
      <c r="G96" s="21" t="e">
        <f>+(F96-E96)/E96</f>
        <v>#DIV/0!</v>
      </c>
      <c r="H96" s="20">
        <f>+E96-F96</f>
        <v>0</v>
      </c>
      <c r="I96" s="7"/>
      <c r="J96" s="3"/>
      <c r="K96" s="3"/>
      <c r="L96" s="3"/>
      <c r="M96" s="3"/>
      <c r="N96" s="3"/>
      <c r="O96" s="21" t="e">
        <f>1-(N96/M96)</f>
        <v>#DIV/0!</v>
      </c>
      <c r="P96" s="3"/>
    </row>
    <row r="97" spans="2:16">
      <c r="B97" s="3" t="str">
        <f t="shared" si="4"/>
        <v>Nov</v>
      </c>
      <c r="C97" s="3">
        <f t="shared" si="3"/>
        <v>48</v>
      </c>
      <c r="D97" s="4">
        <v>46354</v>
      </c>
      <c r="E97" s="3"/>
      <c r="F97" s="3"/>
      <c r="G97" s="21" t="e">
        <f>+(F97-E97)/E97</f>
        <v>#DIV/0!</v>
      </c>
      <c r="H97" s="20">
        <f>+E97-F97</f>
        <v>0</v>
      </c>
      <c r="I97" s="7"/>
      <c r="J97" s="3"/>
      <c r="K97" s="3"/>
      <c r="L97" s="3"/>
      <c r="M97" s="3"/>
      <c r="N97" s="3"/>
      <c r="O97" s="21" t="e">
        <f>1-(N97/M97)</f>
        <v>#DIV/0!</v>
      </c>
      <c r="P97" s="3"/>
    </row>
    <row r="98" spans="2:16">
      <c r="B98" s="3" t="str">
        <f t="shared" si="4"/>
        <v>Nov</v>
      </c>
      <c r="C98" s="3">
        <f t="shared" si="3"/>
        <v>49</v>
      </c>
      <c r="D98" s="4">
        <v>46355</v>
      </c>
      <c r="E98" s="3"/>
      <c r="F98" s="3"/>
      <c r="G98" s="21" t="e">
        <f>+(F98-E98)/E98</f>
        <v>#DIV/0!</v>
      </c>
      <c r="H98" s="20">
        <f>+E98-F98</f>
        <v>0</v>
      </c>
      <c r="I98" s="7"/>
      <c r="J98" s="3"/>
      <c r="K98" s="3"/>
      <c r="L98" s="3"/>
      <c r="M98" s="3"/>
      <c r="N98" s="3"/>
      <c r="O98" s="21" t="e">
        <f>1-(N98/M98)</f>
        <v>#DIV/0!</v>
      </c>
      <c r="P98" s="3"/>
    </row>
    <row r="99" spans="2:16">
      <c r="B99" s="3" t="str">
        <f t="shared" si="4"/>
        <v>Nov</v>
      </c>
      <c r="C99" s="3">
        <f t="shared" si="3"/>
        <v>49</v>
      </c>
      <c r="D99" s="4">
        <v>46356</v>
      </c>
      <c r="E99" s="3"/>
      <c r="F99" s="3"/>
      <c r="G99" s="21" t="e">
        <f>+(F99-E99)/E99</f>
        <v>#DIV/0!</v>
      </c>
      <c r="H99" s="20">
        <f>+E99-F99</f>
        <v>0</v>
      </c>
      <c r="I99" s="7"/>
      <c r="J99" s="3"/>
      <c r="K99" s="3"/>
      <c r="L99" s="3"/>
      <c r="M99" s="3"/>
      <c r="N99" s="3"/>
      <c r="O99" s="21" t="e">
        <f>1-(N99/M99)</f>
        <v>#DIV/0!</v>
      </c>
      <c r="P99" s="3"/>
    </row>
    <row r="100" spans="2:16">
      <c r="B100" s="3" t="str">
        <f t="shared" si="4"/>
        <v>Dec</v>
      </c>
      <c r="C100" s="3">
        <f t="shared" si="3"/>
        <v>49</v>
      </c>
      <c r="D100" s="4">
        <v>46357</v>
      </c>
      <c r="E100" s="3"/>
      <c r="F100" s="3"/>
      <c r="G100" s="21" t="e">
        <f>+(F100-E100)/E100</f>
        <v>#DIV/0!</v>
      </c>
      <c r="H100" s="20">
        <f>+E100-F100</f>
        <v>0</v>
      </c>
      <c r="I100" s="7"/>
      <c r="J100" s="3"/>
      <c r="K100" s="3"/>
      <c r="L100" s="3"/>
      <c r="M100" s="3"/>
      <c r="N100" s="3"/>
      <c r="O100" s="21" t="e">
        <f>1-(N100/M100)</f>
        <v>#DIV/0!</v>
      </c>
      <c r="P100" s="3"/>
    </row>
    <row r="101" spans="2:16">
      <c r="B101" s="3" t="str">
        <f t="shared" si="4"/>
        <v>Dec</v>
      </c>
      <c r="C101" s="3">
        <f t="shared" si="3"/>
        <v>49</v>
      </c>
      <c r="D101" s="4">
        <v>46358</v>
      </c>
      <c r="E101" s="3"/>
      <c r="F101" s="3"/>
      <c r="G101" s="21" t="e">
        <f>+(F101-E101)/E101</f>
        <v>#DIV/0!</v>
      </c>
      <c r="H101" s="20">
        <f>+E101-F101</f>
        <v>0</v>
      </c>
      <c r="I101" s="7"/>
      <c r="J101" s="3"/>
      <c r="K101" s="3"/>
      <c r="L101" s="3"/>
      <c r="M101" s="3"/>
      <c r="N101" s="3"/>
      <c r="O101" s="21" t="e">
        <f>1-(N101/M101)</f>
        <v>#DIV/0!</v>
      </c>
      <c r="P101" s="3"/>
    </row>
    <row r="102" spans="2:16">
      <c r="B102" s="3" t="str">
        <f t="shared" si="4"/>
        <v>Dec</v>
      </c>
      <c r="C102" s="3">
        <f t="shared" si="3"/>
        <v>49</v>
      </c>
      <c r="D102" s="4">
        <v>46359</v>
      </c>
      <c r="E102" s="3"/>
      <c r="F102" s="3"/>
      <c r="G102" s="21" t="e">
        <f>+(F102-E102)/E102</f>
        <v>#DIV/0!</v>
      </c>
      <c r="H102" s="20">
        <f>+E102-F102</f>
        <v>0</v>
      </c>
      <c r="I102" s="7"/>
      <c r="J102" s="3"/>
      <c r="K102" s="3"/>
      <c r="L102" s="3"/>
      <c r="M102" s="3"/>
      <c r="N102" s="3"/>
      <c r="O102" s="21" t="e">
        <f>1-(N102/M102)</f>
        <v>#DIV/0!</v>
      </c>
      <c r="P102" s="3"/>
    </row>
    <row r="103" spans="2:16">
      <c r="B103" s="3" t="str">
        <f t="shared" si="4"/>
        <v>Dec</v>
      </c>
      <c r="C103" s="3">
        <f t="shared" si="3"/>
        <v>49</v>
      </c>
      <c r="D103" s="4">
        <v>46360</v>
      </c>
      <c r="E103" s="3"/>
      <c r="F103" s="3"/>
      <c r="G103" s="21" t="e">
        <f>+(F103-E103)/E103</f>
        <v>#DIV/0!</v>
      </c>
      <c r="H103" s="20">
        <f>+E103-F103</f>
        <v>0</v>
      </c>
      <c r="I103" s="7"/>
      <c r="J103" s="3"/>
      <c r="K103" s="3"/>
      <c r="L103" s="3"/>
      <c r="M103" s="3"/>
      <c r="N103" s="3"/>
      <c r="O103" s="21" t="e">
        <f>1-(N103/M103)</f>
        <v>#DIV/0!</v>
      </c>
      <c r="P103" s="3"/>
    </row>
    <row r="104" spans="2:16">
      <c r="B104" s="3" t="str">
        <f t="shared" si="4"/>
        <v>Dec</v>
      </c>
      <c r="C104" s="3">
        <f t="shared" si="3"/>
        <v>49</v>
      </c>
      <c r="D104" s="4">
        <v>46361</v>
      </c>
      <c r="E104" s="3"/>
      <c r="F104" s="3"/>
      <c r="G104" s="21" t="e">
        <f>+(F104-E104)/E104</f>
        <v>#DIV/0!</v>
      </c>
      <c r="H104" s="20">
        <f>+E104-F104</f>
        <v>0</v>
      </c>
      <c r="I104" s="7"/>
      <c r="J104" s="3"/>
      <c r="K104" s="3"/>
      <c r="L104" s="3"/>
      <c r="M104" s="3"/>
      <c r="N104" s="3"/>
      <c r="O104" s="21" t="e">
        <f>1-(N104/M104)</f>
        <v>#DIV/0!</v>
      </c>
      <c r="P104" s="3"/>
    </row>
    <row r="105" spans="2:16">
      <c r="B105" s="3" t="str">
        <f t="shared" si="4"/>
        <v>Dec</v>
      </c>
      <c r="C105" s="3">
        <f t="shared" si="3"/>
        <v>50</v>
      </c>
      <c r="D105" s="4">
        <v>46362</v>
      </c>
      <c r="E105" s="3"/>
      <c r="F105" s="3"/>
      <c r="G105" s="21" t="e">
        <f>+(F105-E105)/E105</f>
        <v>#DIV/0!</v>
      </c>
      <c r="H105" s="20">
        <f>+E105-F105</f>
        <v>0</v>
      </c>
      <c r="I105" s="7"/>
      <c r="J105" s="3"/>
      <c r="K105" s="3"/>
      <c r="L105" s="3"/>
      <c r="M105" s="3"/>
      <c r="N105" s="3"/>
      <c r="O105" s="21" t="e">
        <f>1-(N105/M105)</f>
        <v>#DIV/0!</v>
      </c>
      <c r="P105" s="3"/>
    </row>
    <row r="106" spans="2:16">
      <c r="B106" s="3" t="str">
        <f t="shared" si="4"/>
        <v>Dec</v>
      </c>
      <c r="C106" s="3">
        <f t="shared" si="3"/>
        <v>50</v>
      </c>
      <c r="D106" s="4">
        <v>46363</v>
      </c>
      <c r="E106" s="3"/>
      <c r="F106" s="3"/>
      <c r="G106" s="21" t="e">
        <f>+(F106-E106)/E106</f>
        <v>#DIV/0!</v>
      </c>
      <c r="H106" s="20">
        <f>+E106-F106</f>
        <v>0</v>
      </c>
      <c r="I106" s="7"/>
      <c r="J106" s="3"/>
      <c r="K106" s="3"/>
      <c r="L106" s="3"/>
      <c r="M106" s="3"/>
      <c r="N106" s="3"/>
      <c r="O106" s="21" t="e">
        <f>1-(N106/M106)</f>
        <v>#DIV/0!</v>
      </c>
      <c r="P106" s="3"/>
    </row>
    <row r="107" spans="2:16">
      <c r="B107" s="3" t="str">
        <f t="shared" si="4"/>
        <v>Dec</v>
      </c>
      <c r="C107" s="3">
        <f t="shared" si="3"/>
        <v>50</v>
      </c>
      <c r="D107" s="4">
        <v>46364</v>
      </c>
      <c r="E107" s="3"/>
      <c r="F107" s="3"/>
      <c r="G107" s="21" t="e">
        <f>+(F107-E107)/E107</f>
        <v>#DIV/0!</v>
      </c>
      <c r="H107" s="20">
        <f>+E107-F107</f>
        <v>0</v>
      </c>
      <c r="I107" s="7"/>
      <c r="J107" s="3"/>
      <c r="K107" s="3"/>
      <c r="L107" s="3"/>
      <c r="M107" s="3"/>
      <c r="N107" s="3"/>
      <c r="O107" s="21" t="e">
        <f>1-(N107/M107)</f>
        <v>#DIV/0!</v>
      </c>
      <c r="P107" s="3"/>
    </row>
    <row r="108" spans="2:16">
      <c r="B108" s="3" t="str">
        <f t="shared" si="4"/>
        <v>Dec</v>
      </c>
      <c r="C108" s="3">
        <f t="shared" si="3"/>
        <v>50</v>
      </c>
      <c r="D108" s="4">
        <v>46365</v>
      </c>
      <c r="E108" s="3"/>
      <c r="F108" s="3"/>
      <c r="G108" s="21" t="e">
        <f>+(F108-E108)/E108</f>
        <v>#DIV/0!</v>
      </c>
      <c r="H108" s="20">
        <f>+E108-F108</f>
        <v>0</v>
      </c>
      <c r="I108" s="7"/>
      <c r="J108" s="3"/>
      <c r="K108" s="3"/>
      <c r="L108" s="3"/>
      <c r="M108" s="3"/>
      <c r="N108" s="3"/>
      <c r="O108" s="21" t="e">
        <f>1-(N108/M108)</f>
        <v>#DIV/0!</v>
      </c>
      <c r="P108" s="3"/>
    </row>
    <row r="109" spans="2:16">
      <c r="B109" s="3" t="str">
        <f t="shared" si="4"/>
        <v>Dec</v>
      </c>
      <c r="C109" s="3">
        <f t="shared" si="3"/>
        <v>50</v>
      </c>
      <c r="D109" s="4">
        <v>46366</v>
      </c>
      <c r="E109" s="3"/>
      <c r="F109" s="3"/>
      <c r="G109" s="21" t="e">
        <f>+(F109-E109)/E109</f>
        <v>#DIV/0!</v>
      </c>
      <c r="H109" s="20">
        <f>+E109-F109</f>
        <v>0</v>
      </c>
      <c r="I109" s="7"/>
      <c r="J109" s="3"/>
      <c r="K109" s="3"/>
      <c r="L109" s="3"/>
      <c r="M109" s="3"/>
      <c r="N109" s="3"/>
      <c r="O109" s="21" t="e">
        <f>1-(N109/M109)</f>
        <v>#DIV/0!</v>
      </c>
      <c r="P109" s="3"/>
    </row>
    <row r="110" spans="2:16">
      <c r="B110" s="3" t="str">
        <f t="shared" si="4"/>
        <v>Dec</v>
      </c>
      <c r="C110" s="3">
        <f t="shared" si="3"/>
        <v>50</v>
      </c>
      <c r="D110" s="4">
        <v>46367</v>
      </c>
      <c r="E110" s="3"/>
      <c r="F110" s="3"/>
      <c r="G110" s="21" t="e">
        <f>+(F110-E110)/E110</f>
        <v>#DIV/0!</v>
      </c>
      <c r="H110" s="20">
        <f>+E110-F110</f>
        <v>0</v>
      </c>
      <c r="I110" s="7"/>
      <c r="J110" s="3"/>
      <c r="K110" s="3"/>
      <c r="L110" s="3"/>
      <c r="M110" s="3"/>
      <c r="N110" s="3"/>
      <c r="O110" s="21" t="e">
        <f>1-(N110/M110)</f>
        <v>#DIV/0!</v>
      </c>
      <c r="P110" s="3"/>
    </row>
    <row r="111" spans="2:16">
      <c r="B111" s="3" t="str">
        <f t="shared" si="4"/>
        <v>Dec</v>
      </c>
      <c r="C111" s="3">
        <f t="shared" si="3"/>
        <v>50</v>
      </c>
      <c r="D111" s="4">
        <v>46368</v>
      </c>
      <c r="E111" s="3"/>
      <c r="F111" s="3"/>
      <c r="G111" s="21" t="e">
        <f>+(F111-E111)/E111</f>
        <v>#DIV/0!</v>
      </c>
      <c r="H111" s="20">
        <f>+E111-F111</f>
        <v>0</v>
      </c>
      <c r="I111" s="7"/>
      <c r="J111" s="3"/>
      <c r="K111" s="3"/>
      <c r="L111" s="3"/>
      <c r="M111" s="3"/>
      <c r="N111" s="3"/>
      <c r="O111" s="21" t="e">
        <f>1-(N111/M111)</f>
        <v>#DIV/0!</v>
      </c>
      <c r="P111" s="3"/>
    </row>
    <row r="112" spans="2:16">
      <c r="B112" s="3" t="str">
        <f t="shared" si="4"/>
        <v>Dec</v>
      </c>
      <c r="C112" s="3">
        <f t="shared" si="3"/>
        <v>51</v>
      </c>
      <c r="D112" s="4">
        <v>46369</v>
      </c>
      <c r="E112" s="3"/>
      <c r="F112" s="3"/>
      <c r="G112" s="21" t="e">
        <f>+(F112-E112)/E112</f>
        <v>#DIV/0!</v>
      </c>
      <c r="H112" s="20">
        <f>+E112-F112</f>
        <v>0</v>
      </c>
      <c r="I112" s="7"/>
      <c r="J112" s="3"/>
      <c r="K112" s="3"/>
      <c r="L112" s="3"/>
      <c r="M112" s="3"/>
      <c r="N112" s="3"/>
      <c r="O112" s="21" t="e">
        <f>1-(N112/M112)</f>
        <v>#DIV/0!</v>
      </c>
      <c r="P112" s="3"/>
    </row>
    <row r="113" spans="2:16">
      <c r="B113" s="3" t="str">
        <f t="shared" si="4"/>
        <v>Dec</v>
      </c>
      <c r="C113" s="3">
        <f t="shared" si="3"/>
        <v>51</v>
      </c>
      <c r="D113" s="4">
        <v>46370</v>
      </c>
      <c r="E113" s="3"/>
      <c r="F113" s="3"/>
      <c r="G113" s="21" t="e">
        <f>+(F113-E113)/E113</f>
        <v>#DIV/0!</v>
      </c>
      <c r="H113" s="20">
        <f>+E113-F113</f>
        <v>0</v>
      </c>
      <c r="I113" s="7"/>
      <c r="J113" s="3"/>
      <c r="K113" s="3"/>
      <c r="L113" s="3"/>
      <c r="M113" s="3"/>
      <c r="N113" s="3"/>
      <c r="O113" s="21" t="e">
        <f>1-(N113/M113)</f>
        <v>#DIV/0!</v>
      </c>
      <c r="P113" s="3"/>
    </row>
    <row r="114" spans="2:16">
      <c r="B114" s="3" t="str">
        <f t="shared" si="4"/>
        <v>Dec</v>
      </c>
      <c r="C114" s="3">
        <f t="shared" si="3"/>
        <v>51</v>
      </c>
      <c r="D114" s="4">
        <v>46371</v>
      </c>
      <c r="E114" s="3"/>
      <c r="F114" s="3"/>
      <c r="G114" s="21" t="e">
        <f>+(F114-E114)/E114</f>
        <v>#DIV/0!</v>
      </c>
      <c r="H114" s="20">
        <f>+E114-F114</f>
        <v>0</v>
      </c>
      <c r="I114" s="7"/>
      <c r="J114" s="3"/>
      <c r="K114" s="3"/>
      <c r="L114" s="3"/>
      <c r="M114" s="3"/>
      <c r="N114" s="3"/>
      <c r="O114" s="21" t="e">
        <f>1-(N114/M114)</f>
        <v>#DIV/0!</v>
      </c>
      <c r="P114" s="3"/>
    </row>
    <row r="115" spans="2:16">
      <c r="B115" s="3" t="str">
        <f t="shared" si="4"/>
        <v>Dec</v>
      </c>
      <c r="C115" s="3">
        <f t="shared" si="3"/>
        <v>51</v>
      </c>
      <c r="D115" s="4">
        <v>46372</v>
      </c>
      <c r="E115" s="3"/>
      <c r="F115" s="3"/>
      <c r="G115" s="21" t="e">
        <f>+(F115-E115)/E115</f>
        <v>#DIV/0!</v>
      </c>
      <c r="H115" s="20">
        <f>+E115-F115</f>
        <v>0</v>
      </c>
      <c r="I115" s="7"/>
      <c r="J115" s="3"/>
      <c r="K115" s="3"/>
      <c r="L115" s="3"/>
      <c r="M115" s="3"/>
      <c r="N115" s="3"/>
      <c r="O115" s="21" t="e">
        <f>1-(N115/M115)</f>
        <v>#DIV/0!</v>
      </c>
      <c r="P115" s="3"/>
    </row>
    <row r="116" spans="2:16">
      <c r="B116" s="3" t="str">
        <f t="shared" si="4"/>
        <v>Dec</v>
      </c>
      <c r="C116" s="3">
        <f t="shared" si="3"/>
        <v>51</v>
      </c>
      <c r="D116" s="4">
        <v>46373</v>
      </c>
      <c r="E116" s="3"/>
      <c r="F116" s="3"/>
      <c r="G116" s="21" t="e">
        <f>+(F116-E116)/E116</f>
        <v>#DIV/0!</v>
      </c>
      <c r="H116" s="20">
        <f>+E116-F116</f>
        <v>0</v>
      </c>
      <c r="I116" s="7"/>
      <c r="J116" s="3"/>
      <c r="K116" s="3"/>
      <c r="L116" s="3"/>
      <c r="M116" s="3"/>
      <c r="N116" s="3"/>
      <c r="O116" s="21" t="e">
        <f>1-(N116/M116)</f>
        <v>#DIV/0!</v>
      </c>
      <c r="P116" s="3"/>
    </row>
    <row r="117" spans="2:16">
      <c r="B117" s="3" t="str">
        <f t="shared" si="4"/>
        <v>Dec</v>
      </c>
      <c r="C117" s="3">
        <f t="shared" si="3"/>
        <v>51</v>
      </c>
      <c r="D117" s="4">
        <v>46374</v>
      </c>
      <c r="E117" s="3"/>
      <c r="F117" s="3"/>
      <c r="G117" s="21" t="e">
        <f>+(F117-E117)/E117</f>
        <v>#DIV/0!</v>
      </c>
      <c r="H117" s="20">
        <f>+E117-F117</f>
        <v>0</v>
      </c>
      <c r="I117" s="7"/>
      <c r="J117" s="3"/>
      <c r="K117" s="3"/>
      <c r="L117" s="3"/>
      <c r="M117" s="3"/>
      <c r="N117" s="3"/>
      <c r="O117" s="21" t="e">
        <f>1-(N117/M117)</f>
        <v>#DIV/0!</v>
      </c>
      <c r="P117" s="3"/>
    </row>
    <row r="118" spans="2:16">
      <c r="B118" s="3" t="str">
        <f t="shared" si="4"/>
        <v>Dec</v>
      </c>
      <c r="C118" s="3">
        <f t="shared" si="3"/>
        <v>51</v>
      </c>
      <c r="D118" s="4">
        <v>46375</v>
      </c>
      <c r="E118" s="3"/>
      <c r="F118" s="3"/>
      <c r="G118" s="21" t="e">
        <f>+(F118-E118)/E118</f>
        <v>#DIV/0!</v>
      </c>
      <c r="H118" s="20">
        <f>+E118-F118</f>
        <v>0</v>
      </c>
      <c r="I118" s="7"/>
      <c r="J118" s="3"/>
      <c r="K118" s="3"/>
      <c r="L118" s="3"/>
      <c r="M118" s="3"/>
      <c r="N118" s="3"/>
      <c r="O118" s="21" t="e">
        <f>1-(N118/M118)</f>
        <v>#DIV/0!</v>
      </c>
      <c r="P118" s="3"/>
    </row>
    <row r="119" spans="2:16">
      <c r="B119" s="3" t="str">
        <f t="shared" si="4"/>
        <v>Dec</v>
      </c>
      <c r="C119" s="3">
        <f t="shared" si="3"/>
        <v>52</v>
      </c>
      <c r="D119" s="4">
        <v>46376</v>
      </c>
      <c r="E119" s="3"/>
      <c r="F119" s="3"/>
      <c r="G119" s="21" t="e">
        <f>+(F119-E119)/E119</f>
        <v>#DIV/0!</v>
      </c>
      <c r="H119" s="20">
        <f>+E119-F119</f>
        <v>0</v>
      </c>
      <c r="I119" s="7"/>
      <c r="J119" s="3"/>
      <c r="K119" s="3"/>
      <c r="L119" s="3"/>
      <c r="M119" s="3"/>
      <c r="N119" s="3"/>
      <c r="O119" s="21" t="e">
        <f>1-(N119/M119)</f>
        <v>#DIV/0!</v>
      </c>
      <c r="P119" s="3"/>
    </row>
    <row r="120" spans="2:16">
      <c r="B120" s="3" t="str">
        <f t="shared" si="4"/>
        <v>Dec</v>
      </c>
      <c r="C120" s="3">
        <f t="shared" si="3"/>
        <v>52</v>
      </c>
      <c r="D120" s="4">
        <v>46377</v>
      </c>
      <c r="E120" s="3"/>
      <c r="F120" s="3"/>
      <c r="G120" s="21" t="e">
        <f>+(F120-E120)/E120</f>
        <v>#DIV/0!</v>
      </c>
      <c r="H120" s="20">
        <f>+E120-F120</f>
        <v>0</v>
      </c>
      <c r="I120" s="7"/>
      <c r="J120" s="3"/>
      <c r="K120" s="3"/>
      <c r="L120" s="3"/>
      <c r="M120" s="3"/>
      <c r="N120" s="3"/>
      <c r="O120" s="21" t="e">
        <f>1-(N120/M120)</f>
        <v>#DIV/0!</v>
      </c>
      <c r="P120" s="3"/>
    </row>
    <row r="121" spans="2:16">
      <c r="B121" s="3" t="str">
        <f t="shared" si="4"/>
        <v>Dec</v>
      </c>
      <c r="C121" s="3">
        <f t="shared" si="3"/>
        <v>52</v>
      </c>
      <c r="D121" s="4">
        <v>46378</v>
      </c>
      <c r="E121" s="3"/>
      <c r="F121" s="3"/>
      <c r="G121" s="21" t="e">
        <f>+(F121-E121)/E121</f>
        <v>#DIV/0!</v>
      </c>
      <c r="H121" s="20">
        <f>+E121-F121</f>
        <v>0</v>
      </c>
      <c r="I121" s="7"/>
      <c r="J121" s="3"/>
      <c r="K121" s="3"/>
      <c r="L121" s="3"/>
      <c r="M121" s="3"/>
      <c r="N121" s="3"/>
      <c r="O121" s="21" t="e">
        <f>1-(N121/M121)</f>
        <v>#DIV/0!</v>
      </c>
      <c r="P121" s="3"/>
    </row>
    <row r="122" spans="2:16">
      <c r="B122" s="3" t="str">
        <f t="shared" si="4"/>
        <v>Dec</v>
      </c>
      <c r="C122" s="3">
        <f t="shared" si="3"/>
        <v>52</v>
      </c>
      <c r="D122" s="4">
        <v>46379</v>
      </c>
      <c r="E122" s="3"/>
      <c r="F122" s="3"/>
      <c r="G122" s="21" t="e">
        <f>+(F122-E122)/E122</f>
        <v>#DIV/0!</v>
      </c>
      <c r="H122" s="20">
        <f>+E122-F122</f>
        <v>0</v>
      </c>
      <c r="I122" s="7"/>
      <c r="J122" s="3"/>
      <c r="K122" s="3"/>
      <c r="L122" s="3"/>
      <c r="M122" s="3"/>
      <c r="N122" s="3"/>
      <c r="O122" s="21" t="e">
        <f>1-(N122/M122)</f>
        <v>#DIV/0!</v>
      </c>
      <c r="P122" s="3"/>
    </row>
    <row r="123" spans="2:16">
      <c r="B123" s="3" t="str">
        <f t="shared" si="4"/>
        <v>Dec</v>
      </c>
      <c r="C123" s="3">
        <f t="shared" si="3"/>
        <v>52</v>
      </c>
      <c r="D123" s="4">
        <v>46380</v>
      </c>
      <c r="E123" s="3"/>
      <c r="F123" s="3"/>
      <c r="G123" s="21" t="e">
        <f>+(F123-E123)/E123</f>
        <v>#DIV/0!</v>
      </c>
      <c r="H123" s="20">
        <f>+E123-F123</f>
        <v>0</v>
      </c>
      <c r="I123" s="7"/>
      <c r="J123" s="3"/>
      <c r="K123" s="3"/>
      <c r="L123" s="3"/>
      <c r="M123" s="3"/>
      <c r="N123" s="3"/>
      <c r="O123" s="21" t="e">
        <f>1-(N123/M123)</f>
        <v>#DIV/0!</v>
      </c>
      <c r="P123" s="3"/>
    </row>
    <row r="124" spans="2:16">
      <c r="B124" s="3" t="str">
        <f t="shared" si="4"/>
        <v>Dec</v>
      </c>
      <c r="C124" s="3">
        <f t="shared" si="3"/>
        <v>52</v>
      </c>
      <c r="D124" s="4">
        <v>46381</v>
      </c>
      <c r="E124" s="3"/>
      <c r="F124" s="3"/>
      <c r="G124" s="21" t="e">
        <f>+(F124-E124)/E124</f>
        <v>#DIV/0!</v>
      </c>
      <c r="H124" s="20">
        <f>+E124-F124</f>
        <v>0</v>
      </c>
      <c r="I124" s="7"/>
      <c r="J124" s="3"/>
      <c r="K124" s="3"/>
      <c r="L124" s="3"/>
      <c r="M124" s="3"/>
      <c r="N124" s="3"/>
      <c r="O124" s="21" t="e">
        <f>1-(N124/M124)</f>
        <v>#DIV/0!</v>
      </c>
      <c r="P124" s="3"/>
    </row>
    <row r="125" spans="2:16">
      <c r="B125" s="3" t="str">
        <f t="shared" si="4"/>
        <v>Dec</v>
      </c>
      <c r="C125" s="3">
        <f t="shared" si="3"/>
        <v>52</v>
      </c>
      <c r="D125" s="4">
        <v>46382</v>
      </c>
      <c r="E125" s="3"/>
      <c r="F125" s="3"/>
      <c r="G125" s="21" t="e">
        <f>+(F125-E125)/E125</f>
        <v>#DIV/0!</v>
      </c>
      <c r="H125" s="20">
        <f>+E125-F125</f>
        <v>0</v>
      </c>
      <c r="I125" s="7"/>
      <c r="J125" s="3"/>
      <c r="K125" s="3"/>
      <c r="L125" s="3"/>
      <c r="M125" s="3"/>
      <c r="N125" s="3"/>
      <c r="O125" s="21" t="e">
        <f>1-(N125/M125)</f>
        <v>#DIV/0!</v>
      </c>
      <c r="P125" s="3"/>
    </row>
    <row r="126" spans="2:16">
      <c r="B126" s="3" t="str">
        <f t="shared" si="4"/>
        <v>Dec</v>
      </c>
      <c r="C126" s="3">
        <f t="shared" si="3"/>
        <v>53</v>
      </c>
      <c r="D126" s="4">
        <v>46383</v>
      </c>
      <c r="E126" s="3"/>
      <c r="F126" s="3"/>
      <c r="G126" s="21" t="e">
        <f>+(F126-E126)/E126</f>
        <v>#DIV/0!</v>
      </c>
      <c r="H126" s="20">
        <f>+E126-F126</f>
        <v>0</v>
      </c>
      <c r="I126" s="7"/>
      <c r="J126" s="3"/>
      <c r="K126" s="3"/>
      <c r="L126" s="3"/>
      <c r="M126" s="3"/>
      <c r="N126" s="3"/>
      <c r="O126" s="21" t="e">
        <f>1-(N126/M126)</f>
        <v>#DIV/0!</v>
      </c>
      <c r="P126" s="3"/>
    </row>
    <row r="127" spans="2:16">
      <c r="B127" s="3" t="str">
        <f t="shared" si="4"/>
        <v>Dec</v>
      </c>
      <c r="C127" s="3">
        <f t="shared" si="3"/>
        <v>53</v>
      </c>
      <c r="D127" s="4">
        <v>46384</v>
      </c>
      <c r="E127" s="3"/>
      <c r="F127" s="3"/>
      <c r="G127" s="21" t="e">
        <f>+(F127-E127)/E127</f>
        <v>#DIV/0!</v>
      </c>
      <c r="H127" s="20">
        <f>+E127-F127</f>
        <v>0</v>
      </c>
      <c r="I127" s="7"/>
      <c r="J127" s="3"/>
      <c r="K127" s="3"/>
      <c r="L127" s="3"/>
      <c r="M127" s="3"/>
      <c r="N127" s="3"/>
      <c r="O127" s="21" t="e">
        <f>1-(N127/M127)</f>
        <v>#DIV/0!</v>
      </c>
      <c r="P127" s="3"/>
    </row>
    <row r="128" spans="2:16">
      <c r="B128" s="3" t="str">
        <f t="shared" si="4"/>
        <v>Dec</v>
      </c>
      <c r="C128" s="3">
        <f t="shared" si="3"/>
        <v>53</v>
      </c>
      <c r="D128" s="4">
        <v>46385</v>
      </c>
      <c r="E128" s="3"/>
      <c r="F128" s="3"/>
      <c r="G128" s="21" t="e">
        <f>+(F128-E128)/E128</f>
        <v>#DIV/0!</v>
      </c>
      <c r="H128" s="20">
        <f>+E128-F128</f>
        <v>0</v>
      </c>
      <c r="I128" s="7"/>
      <c r="J128" s="3"/>
      <c r="K128" s="3"/>
      <c r="L128" s="3"/>
      <c r="M128" s="3"/>
      <c r="N128" s="3"/>
      <c r="O128" s="21" t="e">
        <f>1-(N128/M128)</f>
        <v>#DIV/0!</v>
      </c>
      <c r="P128" s="3"/>
    </row>
    <row r="129" spans="2:16">
      <c r="B129" s="3" t="str">
        <f t="shared" si="4"/>
        <v>Dec</v>
      </c>
      <c r="C129" s="3">
        <f t="shared" si="3"/>
        <v>53</v>
      </c>
      <c r="D129" s="4">
        <v>46386</v>
      </c>
      <c r="E129" s="3"/>
      <c r="F129" s="3"/>
      <c r="G129" s="21" t="e">
        <f>+(F129-E129)/E129</f>
        <v>#DIV/0!</v>
      </c>
      <c r="H129" s="20">
        <f>+E129-F129</f>
        <v>0</v>
      </c>
      <c r="I129" s="7"/>
      <c r="J129" s="3"/>
      <c r="K129" s="3"/>
      <c r="L129" s="3"/>
      <c r="M129" s="3"/>
      <c r="N129" s="3"/>
      <c r="O129" s="21" t="e">
        <f>1-(N129/M129)</f>
        <v>#DIV/0!</v>
      </c>
      <c r="P129" s="3"/>
    </row>
    <row r="130" spans="2:16">
      <c r="B130" s="3" t="str">
        <f t="shared" si="4"/>
        <v>Dec</v>
      </c>
      <c r="C130" s="3">
        <f t="shared" si="3"/>
        <v>53</v>
      </c>
      <c r="D130" s="4">
        <v>46387</v>
      </c>
      <c r="E130" s="3"/>
      <c r="F130" s="3"/>
      <c r="G130" s="21" t="e">
        <f>+(F130-E130)/E130</f>
        <v>#DIV/0!</v>
      </c>
      <c r="H130" s="20">
        <f>+E130-F130</f>
        <v>0</v>
      </c>
      <c r="I130" s="7"/>
      <c r="J130" s="3"/>
      <c r="K130" s="3"/>
      <c r="L130" s="3"/>
      <c r="M130" s="3"/>
      <c r="N130" s="3"/>
      <c r="O130" s="21" t="e">
        <f>1-(N130/M130)</f>
        <v>#DIV/0!</v>
      </c>
      <c r="P130" s="3"/>
    </row>
  </sheetData>
  <conditionalFormatting sqref="H3:H130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4789D-3F4E-D840-9718-88D3DDF30111}">
  <dimension ref="B3:M1048576"/>
  <sheetViews>
    <sheetView showGridLines="0" workbookViewId="0">
      <pane xSplit="4" ySplit="3" topLeftCell="E26" activePane="bottomRight" state="frozen"/>
      <selection pane="bottomRight" activeCell="C32" sqref="C32"/>
      <selection pane="bottomLeft" activeCell="A4" sqref="A4"/>
      <selection pane="topRight" activeCell="E1" sqref="E1"/>
    </sheetView>
  </sheetViews>
  <sheetFormatPr defaultColWidth="11" defaultRowHeight="16.5"/>
  <cols>
    <col min="1" max="1" width="3.25" customWidth="1"/>
    <col min="5" max="5" width="14.25" style="1" customWidth="1"/>
    <col min="6" max="6" width="12.75" style="1" customWidth="1"/>
    <col min="7" max="8" width="13.625" style="1" customWidth="1"/>
    <col min="9" max="9" width="45.125" bestFit="1" customWidth="1"/>
    <col min="10" max="10" width="40.75" bestFit="1" customWidth="1"/>
    <col min="11" max="11" width="40.25" bestFit="1" customWidth="1"/>
    <col min="12" max="12" width="38.375" bestFit="1" customWidth="1"/>
    <col min="13" max="13" width="31.75" bestFit="1" customWidth="1"/>
  </cols>
  <sheetData>
    <row r="3" spans="2:13" s="11" customFormat="1" ht="30">
      <c r="B3" s="17" t="s">
        <v>0</v>
      </c>
      <c r="C3" s="17" t="s">
        <v>1</v>
      </c>
      <c r="D3" s="17" t="s">
        <v>2</v>
      </c>
      <c r="E3" s="17" t="s">
        <v>142</v>
      </c>
      <c r="F3" s="17" t="s">
        <v>143</v>
      </c>
      <c r="G3" s="17" t="s">
        <v>144</v>
      </c>
      <c r="H3" s="17" t="s">
        <v>111</v>
      </c>
      <c r="I3" s="17" t="s">
        <v>17</v>
      </c>
      <c r="J3" s="17" t="s">
        <v>18</v>
      </c>
      <c r="K3" s="17" t="s">
        <v>19</v>
      </c>
      <c r="L3" s="17" t="s">
        <v>20</v>
      </c>
      <c r="M3" s="17" t="s">
        <v>21</v>
      </c>
    </row>
    <row r="4" spans="2:13">
      <c r="B4" s="3" t="str">
        <f>+TEXT(D4,"MMM")</f>
        <v>Aug</v>
      </c>
      <c r="C4" s="3">
        <f>+WEEKNUM(D4)</f>
        <v>35</v>
      </c>
      <c r="D4" s="4">
        <v>46260</v>
      </c>
      <c r="E4" s="18">
        <v>5</v>
      </c>
      <c r="F4" s="18">
        <v>2</v>
      </c>
      <c r="G4" s="18">
        <v>2</v>
      </c>
      <c r="H4" s="18">
        <v>1</v>
      </c>
      <c r="I4" s="5" t="s">
        <v>145</v>
      </c>
      <c r="J4" s="5" t="s">
        <v>146</v>
      </c>
      <c r="K4" s="5" t="s">
        <v>147</v>
      </c>
      <c r="L4" s="5" t="s">
        <v>148</v>
      </c>
      <c r="M4" s="5"/>
    </row>
    <row r="5" spans="2:13">
      <c r="B5" s="3" t="str">
        <f t="shared" ref="B5:B68" si="0">+TEXT(D5,"MMM")</f>
        <v>Aug</v>
      </c>
      <c r="C5" s="3">
        <f t="shared" ref="C5:C68" si="1">+WEEKNUM(D5)</f>
        <v>35</v>
      </c>
      <c r="D5" s="4">
        <v>46261</v>
      </c>
      <c r="E5" s="18">
        <v>4</v>
      </c>
      <c r="F5" s="18">
        <v>3</v>
      </c>
      <c r="G5" s="18">
        <v>22</v>
      </c>
      <c r="H5" s="18">
        <v>3</v>
      </c>
      <c r="I5" s="5" t="s">
        <v>145</v>
      </c>
      <c r="J5" s="5" t="s">
        <v>146</v>
      </c>
      <c r="K5" s="5" t="s">
        <v>147</v>
      </c>
      <c r="L5" s="5" t="s">
        <v>149</v>
      </c>
      <c r="M5" s="5" t="s">
        <v>150</v>
      </c>
    </row>
    <row r="6" spans="2:13">
      <c r="B6" s="3" t="str">
        <f t="shared" si="0"/>
        <v>Aug</v>
      </c>
      <c r="C6" s="3">
        <f t="shared" si="1"/>
        <v>35</v>
      </c>
      <c r="D6" s="4">
        <v>46262</v>
      </c>
      <c r="E6" s="18">
        <v>7</v>
      </c>
      <c r="F6" s="18">
        <v>3</v>
      </c>
      <c r="G6" s="18">
        <v>14</v>
      </c>
      <c r="H6" s="18">
        <v>2</v>
      </c>
      <c r="I6" s="5" t="s">
        <v>145</v>
      </c>
      <c r="J6" s="5" t="s">
        <v>146</v>
      </c>
      <c r="K6" s="5" t="s">
        <v>147</v>
      </c>
      <c r="L6" s="5" t="s">
        <v>149</v>
      </c>
      <c r="M6" s="5"/>
    </row>
    <row r="7" spans="2:13">
      <c r="B7" s="3" t="str">
        <f t="shared" si="0"/>
        <v>Aug</v>
      </c>
      <c r="C7" s="3">
        <f t="shared" si="1"/>
        <v>35</v>
      </c>
      <c r="D7" s="4">
        <v>46263</v>
      </c>
      <c r="E7" s="18">
        <v>7</v>
      </c>
      <c r="F7" s="18">
        <v>3</v>
      </c>
      <c r="G7" s="18"/>
      <c r="H7" s="18">
        <v>2</v>
      </c>
      <c r="I7" s="5" t="s">
        <v>145</v>
      </c>
      <c r="J7" s="5" t="s">
        <v>147</v>
      </c>
      <c r="K7" s="5" t="s">
        <v>149</v>
      </c>
      <c r="L7" s="5"/>
      <c r="M7" s="5"/>
    </row>
    <row r="8" spans="2:13">
      <c r="B8" s="3" t="str">
        <f t="shared" si="0"/>
        <v>Aug</v>
      </c>
      <c r="C8" s="3">
        <f t="shared" si="1"/>
        <v>36</v>
      </c>
      <c r="D8" s="4">
        <v>46264</v>
      </c>
      <c r="E8" s="18">
        <v>7</v>
      </c>
      <c r="F8" s="18">
        <v>3</v>
      </c>
      <c r="G8" s="18"/>
      <c r="H8" s="18">
        <v>2</v>
      </c>
      <c r="I8" s="5" t="s">
        <v>145</v>
      </c>
      <c r="J8" s="5" t="s">
        <v>147</v>
      </c>
      <c r="K8" s="5" t="s">
        <v>149</v>
      </c>
      <c r="L8" s="5"/>
      <c r="M8" s="5"/>
    </row>
    <row r="9" spans="2:13">
      <c r="B9" s="3" t="str">
        <f t="shared" si="0"/>
        <v>Aug</v>
      </c>
      <c r="C9" s="3">
        <f t="shared" si="1"/>
        <v>36</v>
      </c>
      <c r="D9" s="4">
        <v>46265</v>
      </c>
      <c r="E9" s="18">
        <v>14</v>
      </c>
      <c r="F9" s="18">
        <v>7</v>
      </c>
      <c r="G9" s="18">
        <v>15</v>
      </c>
      <c r="H9" s="18">
        <v>3</v>
      </c>
      <c r="I9" s="5" t="s">
        <v>145</v>
      </c>
      <c r="J9" s="5" t="s">
        <v>147</v>
      </c>
      <c r="K9" s="5" t="s">
        <v>149</v>
      </c>
      <c r="L9" s="5"/>
      <c r="M9" s="5"/>
    </row>
    <row r="10" spans="2:13">
      <c r="B10" s="3" t="str">
        <f t="shared" si="0"/>
        <v>Sep</v>
      </c>
      <c r="C10" s="3">
        <f t="shared" si="1"/>
        <v>36</v>
      </c>
      <c r="D10" s="4">
        <v>46266</v>
      </c>
      <c r="E10" s="18">
        <v>9</v>
      </c>
      <c r="F10" s="18">
        <v>5</v>
      </c>
      <c r="G10" s="18">
        <v>9</v>
      </c>
      <c r="H10" s="18">
        <v>2</v>
      </c>
      <c r="I10" s="5" t="s">
        <v>145</v>
      </c>
      <c r="J10" s="5" t="s">
        <v>147</v>
      </c>
      <c r="K10" s="5"/>
      <c r="L10" s="5"/>
      <c r="M10" s="5"/>
    </row>
    <row r="11" spans="2:13">
      <c r="B11" s="3" t="str">
        <f t="shared" si="0"/>
        <v>Sep</v>
      </c>
      <c r="C11" s="3">
        <f t="shared" si="1"/>
        <v>36</v>
      </c>
      <c r="D11" s="4">
        <v>46267</v>
      </c>
      <c r="E11" s="18">
        <v>1</v>
      </c>
      <c r="F11" s="18">
        <v>11</v>
      </c>
      <c r="G11" s="18">
        <v>12</v>
      </c>
      <c r="H11" s="18">
        <v>3</v>
      </c>
      <c r="I11" s="5" t="s">
        <v>147</v>
      </c>
      <c r="J11" s="5" t="s">
        <v>151</v>
      </c>
      <c r="K11" s="5"/>
      <c r="L11" s="5"/>
      <c r="M11" s="5"/>
    </row>
    <row r="12" spans="2:13">
      <c r="B12" s="3" t="str">
        <f t="shared" si="0"/>
        <v>Sep</v>
      </c>
      <c r="C12" s="3">
        <f t="shared" si="1"/>
        <v>36</v>
      </c>
      <c r="D12" s="4">
        <v>46268</v>
      </c>
      <c r="E12" s="18">
        <v>15</v>
      </c>
      <c r="F12" s="18">
        <v>3</v>
      </c>
      <c r="G12" s="18">
        <v>16</v>
      </c>
      <c r="H12" s="18">
        <v>3</v>
      </c>
      <c r="I12" s="5"/>
      <c r="J12" s="5"/>
      <c r="K12" s="5"/>
      <c r="L12" s="5"/>
      <c r="M12" s="5"/>
    </row>
    <row r="13" spans="2:13" ht="15.75">
      <c r="B13" s="3" t="str">
        <f t="shared" si="0"/>
        <v>Sep</v>
      </c>
      <c r="C13" s="3">
        <f t="shared" si="1"/>
        <v>36</v>
      </c>
      <c r="D13" s="4">
        <v>46269</v>
      </c>
      <c r="E13" s="18">
        <v>0</v>
      </c>
      <c r="F13" s="18">
        <v>1</v>
      </c>
      <c r="G13" s="18">
        <v>15</v>
      </c>
      <c r="H13" s="18">
        <v>3</v>
      </c>
      <c r="I13" s="5" t="s">
        <v>147</v>
      </c>
      <c r="J13" s="5" t="s">
        <v>152</v>
      </c>
      <c r="K13" s="5" t="s">
        <v>153</v>
      </c>
      <c r="L13" s="5"/>
      <c r="M13" s="5"/>
    </row>
    <row r="14" spans="2:13">
      <c r="B14" s="3" t="str">
        <f t="shared" si="0"/>
        <v>Sep</v>
      </c>
      <c r="C14" s="3">
        <f t="shared" si="1"/>
        <v>36</v>
      </c>
      <c r="D14" s="4">
        <v>46270</v>
      </c>
      <c r="E14" s="18">
        <v>0</v>
      </c>
      <c r="F14" s="18">
        <v>3</v>
      </c>
      <c r="G14" s="18">
        <v>12</v>
      </c>
      <c r="H14" s="18">
        <v>2</v>
      </c>
      <c r="I14" s="5" t="s">
        <v>147</v>
      </c>
      <c r="J14" s="5"/>
      <c r="K14" s="5"/>
      <c r="L14" s="5"/>
      <c r="M14" s="5"/>
    </row>
    <row r="15" spans="2:13">
      <c r="B15" s="3" t="str">
        <f t="shared" si="0"/>
        <v>Sep</v>
      </c>
      <c r="C15" s="3">
        <f t="shared" si="1"/>
        <v>37</v>
      </c>
      <c r="D15" s="4">
        <v>46271</v>
      </c>
      <c r="E15" s="18">
        <v>0</v>
      </c>
      <c r="F15" s="18">
        <v>3</v>
      </c>
      <c r="G15" s="18">
        <v>12</v>
      </c>
      <c r="H15" s="18">
        <v>2</v>
      </c>
      <c r="I15" s="5" t="s">
        <v>147</v>
      </c>
      <c r="J15" s="5" t="s">
        <v>152</v>
      </c>
      <c r="K15" s="5"/>
      <c r="L15" s="5"/>
      <c r="M15" s="5"/>
    </row>
    <row r="16" spans="2:13">
      <c r="B16" s="3" t="str">
        <f t="shared" si="0"/>
        <v>Sep</v>
      </c>
      <c r="C16" s="3">
        <f t="shared" si="1"/>
        <v>37</v>
      </c>
      <c r="D16" s="4">
        <v>46272</v>
      </c>
      <c r="E16" s="18">
        <v>0</v>
      </c>
      <c r="F16" s="18">
        <v>3</v>
      </c>
      <c r="G16" s="18">
        <v>12</v>
      </c>
      <c r="H16" s="18">
        <v>2</v>
      </c>
      <c r="I16" s="5" t="s">
        <v>147</v>
      </c>
      <c r="J16" s="5" t="s">
        <v>152</v>
      </c>
      <c r="K16" s="5"/>
      <c r="L16" s="5"/>
      <c r="M16" s="5"/>
    </row>
    <row r="17" spans="2:13">
      <c r="B17" s="3" t="str">
        <f t="shared" si="0"/>
        <v>Sep</v>
      </c>
      <c r="C17" s="3">
        <f t="shared" si="1"/>
        <v>37</v>
      </c>
      <c r="D17" s="4">
        <v>46273</v>
      </c>
      <c r="E17" s="18">
        <v>2</v>
      </c>
      <c r="F17" s="18">
        <v>1</v>
      </c>
      <c r="G17" s="18">
        <v>9</v>
      </c>
      <c r="H17" s="18">
        <v>2</v>
      </c>
      <c r="I17" s="5" t="s">
        <v>152</v>
      </c>
      <c r="J17" s="5" t="s">
        <v>147</v>
      </c>
      <c r="K17" s="5"/>
      <c r="L17" s="5"/>
      <c r="M17" s="5"/>
    </row>
    <row r="18" spans="2:13">
      <c r="B18" s="3" t="str">
        <f t="shared" si="0"/>
        <v>Sep</v>
      </c>
      <c r="C18" s="3">
        <f t="shared" si="1"/>
        <v>37</v>
      </c>
      <c r="D18" s="4">
        <v>46274</v>
      </c>
      <c r="E18" s="18">
        <v>7</v>
      </c>
      <c r="F18" s="18">
        <v>0</v>
      </c>
      <c r="G18" s="18">
        <v>3</v>
      </c>
      <c r="H18" s="18">
        <v>2</v>
      </c>
      <c r="I18" s="5" t="s">
        <v>154</v>
      </c>
      <c r="J18" s="5" t="s">
        <v>155</v>
      </c>
      <c r="K18" s="5" t="s">
        <v>156</v>
      </c>
      <c r="L18" s="5" t="s">
        <v>157</v>
      </c>
      <c r="M18" s="5" t="s">
        <v>158</v>
      </c>
    </row>
    <row r="19" spans="2:13" ht="15.75">
      <c r="B19" s="3" t="str">
        <f t="shared" si="0"/>
        <v>Sep</v>
      </c>
      <c r="C19" s="3">
        <f t="shared" si="1"/>
        <v>37</v>
      </c>
      <c r="D19" s="4">
        <v>46275</v>
      </c>
      <c r="E19" s="18">
        <v>1</v>
      </c>
      <c r="F19" s="18">
        <v>1</v>
      </c>
      <c r="G19" s="18">
        <v>2</v>
      </c>
      <c r="H19" s="18">
        <v>1</v>
      </c>
      <c r="I19" s="5" t="s">
        <v>155</v>
      </c>
      <c r="J19" s="49" t="s">
        <v>159</v>
      </c>
      <c r="K19" s="5" t="s">
        <v>160</v>
      </c>
      <c r="L19" s="5" t="s">
        <v>161</v>
      </c>
      <c r="M19" s="5" t="s">
        <v>162</v>
      </c>
    </row>
    <row r="20" spans="2:13">
      <c r="B20" s="3" t="str">
        <f t="shared" si="0"/>
        <v>Sep</v>
      </c>
      <c r="C20" s="3">
        <f t="shared" si="1"/>
        <v>37</v>
      </c>
      <c r="D20" s="4">
        <v>46276</v>
      </c>
      <c r="E20" s="18">
        <v>3</v>
      </c>
      <c r="F20" s="18">
        <v>3</v>
      </c>
      <c r="G20" s="18">
        <v>3</v>
      </c>
      <c r="H20" s="18">
        <v>2</v>
      </c>
      <c r="I20" s="5" t="s">
        <v>163</v>
      </c>
      <c r="J20" s="5" t="s">
        <v>164</v>
      </c>
      <c r="K20" s="5" t="s">
        <v>165</v>
      </c>
      <c r="L20" s="5" t="s">
        <v>166</v>
      </c>
      <c r="M20" s="5" t="s">
        <v>167</v>
      </c>
    </row>
    <row r="21" spans="2:13">
      <c r="B21" s="3" t="str">
        <f t="shared" si="0"/>
        <v>Sep</v>
      </c>
      <c r="C21" s="3">
        <f t="shared" si="1"/>
        <v>37</v>
      </c>
      <c r="D21" s="4">
        <v>46277</v>
      </c>
      <c r="E21" s="18">
        <v>1</v>
      </c>
      <c r="F21" s="18">
        <v>8</v>
      </c>
      <c r="G21" s="18">
        <v>0</v>
      </c>
      <c r="H21" s="18">
        <v>2</v>
      </c>
      <c r="I21" s="5" t="s">
        <v>163</v>
      </c>
      <c r="J21" s="5" t="s">
        <v>152</v>
      </c>
      <c r="K21" s="5" t="s">
        <v>168</v>
      </c>
      <c r="L21" s="5" t="s">
        <v>166</v>
      </c>
      <c r="M21" s="5" t="s">
        <v>167</v>
      </c>
    </row>
    <row r="22" spans="2:13">
      <c r="B22" s="3" t="str">
        <f t="shared" si="0"/>
        <v>Sep</v>
      </c>
      <c r="C22" s="3">
        <f t="shared" si="1"/>
        <v>38</v>
      </c>
      <c r="D22" s="4">
        <v>46278</v>
      </c>
      <c r="E22" s="18">
        <v>1</v>
      </c>
      <c r="F22" s="18">
        <v>8</v>
      </c>
      <c r="G22" s="18">
        <v>0</v>
      </c>
      <c r="H22" s="18">
        <v>2</v>
      </c>
      <c r="I22" s="5" t="s">
        <v>163</v>
      </c>
      <c r="J22" s="5" t="s">
        <v>152</v>
      </c>
      <c r="K22" s="5" t="s">
        <v>168</v>
      </c>
      <c r="L22" s="5" t="s">
        <v>166</v>
      </c>
      <c r="M22" s="5" t="s">
        <v>167</v>
      </c>
    </row>
    <row r="23" spans="2:13">
      <c r="B23" s="3" t="str">
        <f t="shared" si="0"/>
        <v>Sep</v>
      </c>
      <c r="C23" s="3">
        <f t="shared" si="1"/>
        <v>38</v>
      </c>
      <c r="D23" s="4">
        <v>46279</v>
      </c>
      <c r="E23" s="18">
        <v>1</v>
      </c>
      <c r="F23" s="18">
        <v>8</v>
      </c>
      <c r="G23" s="18">
        <v>0</v>
      </c>
      <c r="H23" s="18">
        <v>2</v>
      </c>
      <c r="I23" s="5" t="s">
        <v>163</v>
      </c>
      <c r="J23" s="5" t="s">
        <v>152</v>
      </c>
      <c r="K23" s="5" t="s">
        <v>168</v>
      </c>
      <c r="L23" s="5" t="s">
        <v>166</v>
      </c>
      <c r="M23" s="5" t="s">
        <v>167</v>
      </c>
    </row>
    <row r="24" spans="2:13">
      <c r="B24" s="3" t="str">
        <f t="shared" si="0"/>
        <v>Sep</v>
      </c>
      <c r="C24" s="3">
        <f t="shared" si="1"/>
        <v>38</v>
      </c>
      <c r="D24" s="4">
        <v>46280</v>
      </c>
      <c r="E24" s="18">
        <v>9</v>
      </c>
      <c r="F24" s="18">
        <v>8</v>
      </c>
      <c r="G24" s="18">
        <v>0</v>
      </c>
      <c r="H24" s="18">
        <v>1</v>
      </c>
      <c r="I24" s="5" t="s">
        <v>163</v>
      </c>
      <c r="J24" s="5" t="s">
        <v>169</v>
      </c>
      <c r="K24" s="5" t="s">
        <v>168</v>
      </c>
      <c r="L24" s="5" t="s">
        <v>170</v>
      </c>
      <c r="M24" s="5" t="s">
        <v>171</v>
      </c>
    </row>
    <row r="25" spans="2:13">
      <c r="B25" s="3" t="str">
        <f t="shared" si="0"/>
        <v>Sep</v>
      </c>
      <c r="C25" s="3">
        <f t="shared" si="1"/>
        <v>38</v>
      </c>
      <c r="D25" s="4">
        <v>46281</v>
      </c>
      <c r="E25" s="18">
        <v>11</v>
      </c>
      <c r="F25" s="18">
        <v>1</v>
      </c>
      <c r="G25" s="18">
        <v>1</v>
      </c>
      <c r="H25" s="18">
        <v>1</v>
      </c>
      <c r="I25" s="5" t="s">
        <v>163</v>
      </c>
      <c r="J25" s="5" t="s">
        <v>169</v>
      </c>
      <c r="K25" s="5" t="s">
        <v>168</v>
      </c>
      <c r="L25" s="5"/>
      <c r="M25" s="5"/>
    </row>
    <row r="26" spans="2:13">
      <c r="B26" s="3" t="str">
        <f t="shared" si="0"/>
        <v>Sep</v>
      </c>
      <c r="C26" s="3">
        <f t="shared" si="1"/>
        <v>38</v>
      </c>
      <c r="D26" s="4">
        <v>46282</v>
      </c>
      <c r="E26" s="18">
        <v>11</v>
      </c>
      <c r="F26" s="18">
        <v>1</v>
      </c>
      <c r="G26" s="18">
        <v>1</v>
      </c>
      <c r="H26" s="18">
        <v>1</v>
      </c>
      <c r="I26" s="5" t="s">
        <v>163</v>
      </c>
      <c r="J26" s="5" t="s">
        <v>168</v>
      </c>
      <c r="K26" s="5" t="s">
        <v>172</v>
      </c>
      <c r="L26" s="5" t="s">
        <v>173</v>
      </c>
      <c r="M26" s="5"/>
    </row>
    <row r="27" spans="2:13">
      <c r="B27" s="3" t="str">
        <f t="shared" si="0"/>
        <v>Sep</v>
      </c>
      <c r="C27" s="3">
        <f t="shared" si="1"/>
        <v>38</v>
      </c>
      <c r="D27" s="4">
        <v>46283</v>
      </c>
      <c r="E27" s="18">
        <v>10</v>
      </c>
      <c r="F27" s="18">
        <v>0</v>
      </c>
      <c r="G27" s="18">
        <v>2</v>
      </c>
      <c r="H27" s="18">
        <v>1</v>
      </c>
      <c r="I27" s="5" t="s">
        <v>163</v>
      </c>
      <c r="J27" s="5" t="s">
        <v>174</v>
      </c>
      <c r="K27" s="5" t="s">
        <v>173</v>
      </c>
      <c r="L27" s="5" t="s">
        <v>175</v>
      </c>
      <c r="M27" s="5"/>
    </row>
    <row r="28" spans="2:13">
      <c r="B28" s="3" t="str">
        <f t="shared" si="0"/>
        <v>Sep</v>
      </c>
      <c r="C28" s="3">
        <f t="shared" si="1"/>
        <v>38</v>
      </c>
      <c r="D28" s="4">
        <v>46284</v>
      </c>
      <c r="E28" s="18">
        <v>16</v>
      </c>
      <c r="F28" s="18">
        <v>1</v>
      </c>
      <c r="G28" s="18">
        <v>1</v>
      </c>
      <c r="H28" s="18">
        <v>1</v>
      </c>
      <c r="I28" s="5" t="s">
        <v>163</v>
      </c>
      <c r="J28" s="5" t="s">
        <v>174</v>
      </c>
      <c r="K28" s="5" t="s">
        <v>173</v>
      </c>
      <c r="L28" s="5"/>
      <c r="M28" s="5"/>
    </row>
    <row r="29" spans="2:13">
      <c r="B29" s="3" t="str">
        <f t="shared" si="0"/>
        <v>Sep</v>
      </c>
      <c r="C29" s="3">
        <f t="shared" si="1"/>
        <v>39</v>
      </c>
      <c r="D29" s="4">
        <v>46285</v>
      </c>
      <c r="E29" s="18">
        <v>16</v>
      </c>
      <c r="F29" s="18">
        <v>1</v>
      </c>
      <c r="G29" s="18">
        <v>1</v>
      </c>
      <c r="H29" s="18">
        <v>1</v>
      </c>
      <c r="I29" s="5" t="s">
        <v>163</v>
      </c>
      <c r="J29" s="5" t="s">
        <v>174</v>
      </c>
      <c r="K29" s="5" t="s">
        <v>173</v>
      </c>
      <c r="L29" s="5"/>
      <c r="M29" s="5"/>
    </row>
    <row r="30" spans="2:13" ht="15.75">
      <c r="B30" s="3" t="str">
        <f t="shared" si="0"/>
        <v>Sep</v>
      </c>
      <c r="C30" s="3">
        <f t="shared" si="1"/>
        <v>39</v>
      </c>
      <c r="D30" s="4">
        <v>46286</v>
      </c>
      <c r="E30" s="18">
        <v>16</v>
      </c>
      <c r="F30" s="18">
        <v>1</v>
      </c>
      <c r="G30" s="18">
        <v>1</v>
      </c>
      <c r="H30" s="18">
        <v>1</v>
      </c>
      <c r="I30" s="5" t="s">
        <v>163</v>
      </c>
      <c r="J30" s="5" t="s">
        <v>174</v>
      </c>
      <c r="K30" s="5" t="s">
        <v>176</v>
      </c>
      <c r="L30" s="5" t="s">
        <v>173</v>
      </c>
      <c r="M30" s="5"/>
    </row>
    <row r="31" spans="2:13">
      <c r="B31" s="3" t="str">
        <f t="shared" si="0"/>
        <v>Sep</v>
      </c>
      <c r="C31" s="3">
        <f t="shared" si="1"/>
        <v>39</v>
      </c>
      <c r="D31" s="4">
        <v>46287</v>
      </c>
      <c r="E31" s="18">
        <v>6</v>
      </c>
      <c r="F31" s="18">
        <v>1</v>
      </c>
      <c r="G31" s="18">
        <v>1</v>
      </c>
      <c r="H31" s="18">
        <v>1</v>
      </c>
      <c r="I31" s="5" t="s">
        <v>163</v>
      </c>
      <c r="J31" s="5" t="s">
        <v>174</v>
      </c>
      <c r="K31" s="5"/>
      <c r="L31" s="5"/>
      <c r="M31" s="5"/>
    </row>
    <row r="32" spans="2:13">
      <c r="B32" s="3" t="str">
        <f t="shared" si="0"/>
        <v>Sep</v>
      </c>
      <c r="C32" s="3">
        <f t="shared" si="1"/>
        <v>39</v>
      </c>
      <c r="D32" s="4">
        <v>46288</v>
      </c>
      <c r="E32" s="18">
        <v>8</v>
      </c>
      <c r="F32" s="18">
        <v>2</v>
      </c>
      <c r="G32" s="18">
        <v>0</v>
      </c>
      <c r="H32" s="18">
        <v>2</v>
      </c>
      <c r="I32" s="5" t="s">
        <v>177</v>
      </c>
      <c r="J32" s="5" t="s">
        <v>174</v>
      </c>
      <c r="K32" s="5" t="s">
        <v>178</v>
      </c>
      <c r="L32" s="5"/>
      <c r="M32" s="5"/>
    </row>
    <row r="33" spans="2:13">
      <c r="B33" s="3" t="str">
        <f t="shared" si="0"/>
        <v>Sep</v>
      </c>
      <c r="C33" s="3">
        <f t="shared" si="1"/>
        <v>39</v>
      </c>
      <c r="D33" s="4">
        <v>46289</v>
      </c>
      <c r="E33" s="18">
        <v>10</v>
      </c>
      <c r="F33" s="18">
        <v>1</v>
      </c>
      <c r="G33" s="18">
        <v>0</v>
      </c>
      <c r="H33" s="18">
        <v>1</v>
      </c>
      <c r="I33" s="5" t="s">
        <v>179</v>
      </c>
      <c r="J33" s="5" t="s">
        <v>180</v>
      </c>
      <c r="K33" s="5" t="s">
        <v>181</v>
      </c>
      <c r="L33" s="5"/>
      <c r="M33" s="5"/>
    </row>
    <row r="34" spans="2:13">
      <c r="B34" s="3" t="str">
        <f t="shared" si="0"/>
        <v>Sep</v>
      </c>
      <c r="C34" s="3">
        <f t="shared" si="1"/>
        <v>39</v>
      </c>
      <c r="D34" s="4">
        <v>46290</v>
      </c>
      <c r="E34" s="18"/>
      <c r="F34" s="18"/>
      <c r="G34" s="18"/>
      <c r="H34" s="18"/>
      <c r="I34" s="5"/>
      <c r="J34" s="5"/>
      <c r="K34" s="5"/>
      <c r="L34" s="5"/>
      <c r="M34" s="5"/>
    </row>
    <row r="35" spans="2:13">
      <c r="B35" s="3" t="str">
        <f t="shared" si="0"/>
        <v>Sep</v>
      </c>
      <c r="C35" s="3">
        <f t="shared" si="1"/>
        <v>39</v>
      </c>
      <c r="D35" s="4">
        <v>46291</v>
      </c>
      <c r="E35" s="18"/>
      <c r="F35" s="18"/>
      <c r="G35" s="18"/>
      <c r="H35" s="18"/>
      <c r="I35" s="5"/>
      <c r="J35" s="5"/>
      <c r="K35" s="5"/>
      <c r="L35" s="5"/>
      <c r="M35" s="5"/>
    </row>
    <row r="36" spans="2:13">
      <c r="B36" s="3" t="str">
        <f t="shared" si="0"/>
        <v>Sep</v>
      </c>
      <c r="C36" s="3">
        <f t="shared" si="1"/>
        <v>40</v>
      </c>
      <c r="D36" s="4">
        <v>46292</v>
      </c>
      <c r="E36" s="18"/>
      <c r="F36" s="18"/>
      <c r="G36" s="18"/>
      <c r="H36" s="18"/>
      <c r="I36" s="5"/>
      <c r="J36" s="5"/>
      <c r="K36" s="5"/>
      <c r="L36" s="5"/>
      <c r="M36" s="5"/>
    </row>
    <row r="37" spans="2:13">
      <c r="B37" s="3" t="str">
        <f t="shared" si="0"/>
        <v>Sep</v>
      </c>
      <c r="C37" s="3">
        <f t="shared" si="1"/>
        <v>40</v>
      </c>
      <c r="D37" s="4">
        <v>46293</v>
      </c>
      <c r="E37" s="18"/>
      <c r="F37" s="18"/>
      <c r="G37" s="18"/>
      <c r="H37" s="18"/>
      <c r="I37" s="5"/>
      <c r="J37" s="5"/>
      <c r="K37" s="5"/>
      <c r="L37" s="5"/>
      <c r="M37" s="5"/>
    </row>
    <row r="38" spans="2:13">
      <c r="B38" s="3" t="str">
        <f t="shared" si="0"/>
        <v>Sep</v>
      </c>
      <c r="C38" s="3">
        <f t="shared" si="1"/>
        <v>40</v>
      </c>
      <c r="D38" s="4">
        <v>46294</v>
      </c>
      <c r="E38" s="18"/>
      <c r="F38" s="18"/>
      <c r="G38" s="18"/>
      <c r="H38" s="18"/>
      <c r="I38" s="5"/>
      <c r="J38" s="5"/>
      <c r="K38" s="5"/>
      <c r="L38" s="5"/>
      <c r="M38" s="5"/>
    </row>
    <row r="39" spans="2:13">
      <c r="B39" s="3" t="str">
        <f t="shared" si="0"/>
        <v>Sep</v>
      </c>
      <c r="C39" s="3">
        <f t="shared" si="1"/>
        <v>40</v>
      </c>
      <c r="D39" s="4">
        <v>46295</v>
      </c>
      <c r="E39" s="18"/>
      <c r="F39" s="18"/>
      <c r="G39" s="18"/>
      <c r="H39" s="18"/>
      <c r="I39" s="5"/>
      <c r="J39" s="5"/>
      <c r="K39" s="5"/>
      <c r="L39" s="5"/>
      <c r="M39" s="5"/>
    </row>
    <row r="40" spans="2:13">
      <c r="B40" s="3" t="str">
        <f t="shared" si="0"/>
        <v>Oct</v>
      </c>
      <c r="C40" s="3">
        <f t="shared" si="1"/>
        <v>40</v>
      </c>
      <c r="D40" s="4">
        <v>46296</v>
      </c>
      <c r="E40" s="18"/>
      <c r="F40" s="18"/>
      <c r="G40" s="18"/>
      <c r="H40" s="18"/>
      <c r="I40" s="5"/>
      <c r="J40" s="5"/>
      <c r="K40" s="5"/>
      <c r="L40" s="5"/>
      <c r="M40" s="5"/>
    </row>
    <row r="41" spans="2:13">
      <c r="B41" s="3" t="str">
        <f t="shared" si="0"/>
        <v>Oct</v>
      </c>
      <c r="C41" s="3">
        <f t="shared" si="1"/>
        <v>40</v>
      </c>
      <c r="D41" s="4">
        <v>46297</v>
      </c>
      <c r="E41" s="18"/>
      <c r="F41" s="18"/>
      <c r="G41" s="18"/>
      <c r="H41" s="18"/>
      <c r="I41" s="5"/>
      <c r="J41" s="5"/>
      <c r="K41" s="5"/>
      <c r="L41" s="5"/>
      <c r="M41" s="5"/>
    </row>
    <row r="42" spans="2:13">
      <c r="B42" s="3" t="str">
        <f t="shared" si="0"/>
        <v>Oct</v>
      </c>
      <c r="C42" s="3">
        <f t="shared" si="1"/>
        <v>40</v>
      </c>
      <c r="D42" s="4">
        <v>46298</v>
      </c>
      <c r="E42" s="18"/>
      <c r="F42" s="18"/>
      <c r="G42" s="18"/>
      <c r="H42" s="18"/>
      <c r="I42" s="5"/>
      <c r="J42" s="5"/>
      <c r="K42" s="5"/>
      <c r="L42" s="5"/>
      <c r="M42" s="5"/>
    </row>
    <row r="43" spans="2:13">
      <c r="B43" s="3" t="str">
        <f t="shared" si="0"/>
        <v>Oct</v>
      </c>
      <c r="C43" s="3">
        <f t="shared" si="1"/>
        <v>41</v>
      </c>
      <c r="D43" s="4">
        <v>46299</v>
      </c>
      <c r="E43" s="18"/>
      <c r="F43" s="18"/>
      <c r="G43" s="18"/>
      <c r="H43" s="18"/>
      <c r="I43" s="5"/>
      <c r="J43" s="5"/>
      <c r="K43" s="5"/>
      <c r="L43" s="5"/>
      <c r="M43" s="5"/>
    </row>
    <row r="44" spans="2:13">
      <c r="B44" s="3" t="str">
        <f t="shared" si="0"/>
        <v>Oct</v>
      </c>
      <c r="C44" s="3">
        <f t="shared" si="1"/>
        <v>41</v>
      </c>
      <c r="D44" s="4">
        <v>46300</v>
      </c>
      <c r="E44" s="18"/>
      <c r="F44" s="18"/>
      <c r="G44" s="18"/>
      <c r="H44" s="18"/>
      <c r="I44" s="5"/>
      <c r="J44" s="5"/>
      <c r="K44" s="5"/>
      <c r="L44" s="5"/>
      <c r="M44" s="5"/>
    </row>
    <row r="45" spans="2:13">
      <c r="B45" s="3" t="str">
        <f t="shared" si="0"/>
        <v>Oct</v>
      </c>
      <c r="C45" s="3">
        <f t="shared" si="1"/>
        <v>41</v>
      </c>
      <c r="D45" s="4">
        <v>46301</v>
      </c>
      <c r="E45" s="18"/>
      <c r="F45" s="18"/>
      <c r="G45" s="18"/>
      <c r="H45" s="18"/>
      <c r="I45" s="5"/>
      <c r="J45" s="5"/>
      <c r="K45" s="5"/>
      <c r="L45" s="5"/>
      <c r="M45" s="5"/>
    </row>
    <row r="46" spans="2:13">
      <c r="B46" s="3" t="str">
        <f t="shared" si="0"/>
        <v>Oct</v>
      </c>
      <c r="C46" s="3">
        <f t="shared" si="1"/>
        <v>41</v>
      </c>
      <c r="D46" s="4">
        <v>46302</v>
      </c>
      <c r="E46" s="18"/>
      <c r="F46" s="18"/>
      <c r="G46" s="18"/>
      <c r="H46" s="18"/>
      <c r="I46" s="5"/>
      <c r="J46" s="5"/>
      <c r="K46" s="5"/>
      <c r="L46" s="5"/>
      <c r="M46" s="5"/>
    </row>
    <row r="47" spans="2:13">
      <c r="B47" s="3" t="str">
        <f t="shared" si="0"/>
        <v>Oct</v>
      </c>
      <c r="C47" s="3">
        <f t="shared" si="1"/>
        <v>41</v>
      </c>
      <c r="D47" s="4">
        <v>46303</v>
      </c>
      <c r="E47" s="18"/>
      <c r="F47" s="18"/>
      <c r="G47" s="18"/>
      <c r="H47" s="18"/>
      <c r="I47" s="5"/>
      <c r="J47" s="5"/>
      <c r="K47" s="5"/>
      <c r="L47" s="5"/>
      <c r="M47" s="5"/>
    </row>
    <row r="48" spans="2:13">
      <c r="B48" s="3" t="str">
        <f t="shared" si="0"/>
        <v>Oct</v>
      </c>
      <c r="C48" s="3">
        <f t="shared" si="1"/>
        <v>41</v>
      </c>
      <c r="D48" s="4">
        <v>46304</v>
      </c>
      <c r="E48" s="18"/>
      <c r="F48" s="18"/>
      <c r="G48" s="18"/>
      <c r="H48" s="18"/>
      <c r="I48" s="5"/>
      <c r="J48" s="5"/>
      <c r="K48" s="5"/>
      <c r="L48" s="5"/>
      <c r="M48" s="5"/>
    </row>
    <row r="49" spans="2:13">
      <c r="B49" s="3" t="str">
        <f t="shared" si="0"/>
        <v>Oct</v>
      </c>
      <c r="C49" s="3">
        <f t="shared" si="1"/>
        <v>41</v>
      </c>
      <c r="D49" s="4">
        <v>46305</v>
      </c>
      <c r="E49" s="18"/>
      <c r="F49" s="18"/>
      <c r="G49" s="18"/>
      <c r="H49" s="18"/>
      <c r="I49" s="5"/>
      <c r="J49" s="5"/>
      <c r="K49" s="5"/>
      <c r="L49" s="5"/>
      <c r="M49" s="5"/>
    </row>
    <row r="50" spans="2:13">
      <c r="B50" s="3" t="str">
        <f t="shared" si="0"/>
        <v>Oct</v>
      </c>
      <c r="C50" s="3">
        <f t="shared" si="1"/>
        <v>42</v>
      </c>
      <c r="D50" s="4">
        <v>46306</v>
      </c>
      <c r="E50" s="18"/>
      <c r="F50" s="18"/>
      <c r="G50" s="18"/>
      <c r="H50" s="18"/>
      <c r="I50" s="5"/>
      <c r="J50" s="5"/>
      <c r="K50" s="5"/>
      <c r="L50" s="5"/>
      <c r="M50" s="5"/>
    </row>
    <row r="51" spans="2:13">
      <c r="B51" s="3" t="str">
        <f t="shared" si="0"/>
        <v>Oct</v>
      </c>
      <c r="C51" s="3">
        <f t="shared" si="1"/>
        <v>42</v>
      </c>
      <c r="D51" s="4">
        <v>46307</v>
      </c>
      <c r="E51" s="18"/>
      <c r="F51" s="18"/>
      <c r="G51" s="18"/>
      <c r="H51" s="18"/>
      <c r="I51" s="5"/>
      <c r="J51" s="5"/>
      <c r="K51" s="5"/>
      <c r="L51" s="5"/>
      <c r="M51" s="5"/>
    </row>
    <row r="52" spans="2:13">
      <c r="B52" s="3" t="str">
        <f t="shared" si="0"/>
        <v>Oct</v>
      </c>
      <c r="C52" s="3">
        <f t="shared" si="1"/>
        <v>42</v>
      </c>
      <c r="D52" s="4">
        <v>46308</v>
      </c>
      <c r="E52" s="18"/>
      <c r="F52" s="18"/>
      <c r="G52" s="18"/>
      <c r="H52" s="18"/>
      <c r="I52" s="5"/>
      <c r="J52" s="5"/>
      <c r="K52" s="5"/>
      <c r="L52" s="5"/>
      <c r="M52" s="5"/>
    </row>
    <row r="53" spans="2:13">
      <c r="B53" s="3" t="str">
        <f t="shared" si="0"/>
        <v>Oct</v>
      </c>
      <c r="C53" s="3">
        <f t="shared" si="1"/>
        <v>42</v>
      </c>
      <c r="D53" s="4">
        <v>46309</v>
      </c>
      <c r="E53" s="18"/>
      <c r="F53" s="18"/>
      <c r="G53" s="18"/>
      <c r="H53" s="18"/>
      <c r="I53" s="5"/>
      <c r="J53" s="5"/>
      <c r="K53" s="5"/>
      <c r="L53" s="5"/>
      <c r="M53" s="5"/>
    </row>
    <row r="54" spans="2:13">
      <c r="B54" s="3" t="str">
        <f t="shared" si="0"/>
        <v>Oct</v>
      </c>
      <c r="C54" s="3">
        <f t="shared" si="1"/>
        <v>42</v>
      </c>
      <c r="D54" s="4">
        <v>46310</v>
      </c>
      <c r="E54" s="18"/>
      <c r="F54" s="18"/>
      <c r="G54" s="18"/>
      <c r="H54" s="18"/>
      <c r="I54" s="5"/>
      <c r="J54" s="5"/>
      <c r="K54" s="5"/>
      <c r="L54" s="5"/>
      <c r="M54" s="5"/>
    </row>
    <row r="55" spans="2:13">
      <c r="B55" s="3" t="str">
        <f t="shared" si="0"/>
        <v>Oct</v>
      </c>
      <c r="C55" s="3">
        <f t="shared" si="1"/>
        <v>42</v>
      </c>
      <c r="D55" s="4">
        <v>46311</v>
      </c>
      <c r="E55" s="18"/>
      <c r="F55" s="18"/>
      <c r="G55" s="18"/>
      <c r="H55" s="18"/>
      <c r="I55" s="5"/>
      <c r="J55" s="5"/>
      <c r="K55" s="5"/>
      <c r="L55" s="5"/>
      <c r="M55" s="5"/>
    </row>
    <row r="56" spans="2:13">
      <c r="B56" s="3" t="str">
        <f t="shared" si="0"/>
        <v>Oct</v>
      </c>
      <c r="C56" s="3">
        <f t="shared" si="1"/>
        <v>42</v>
      </c>
      <c r="D56" s="4">
        <v>46312</v>
      </c>
      <c r="E56" s="18"/>
      <c r="F56" s="18"/>
      <c r="G56" s="18"/>
      <c r="H56" s="18"/>
      <c r="I56" s="5"/>
      <c r="J56" s="5"/>
      <c r="K56" s="5"/>
      <c r="L56" s="5"/>
      <c r="M56" s="5"/>
    </row>
    <row r="57" spans="2:13">
      <c r="B57" s="3" t="str">
        <f t="shared" si="0"/>
        <v>Oct</v>
      </c>
      <c r="C57" s="3">
        <f t="shared" si="1"/>
        <v>43</v>
      </c>
      <c r="D57" s="4">
        <v>46313</v>
      </c>
      <c r="E57" s="18"/>
      <c r="F57" s="18"/>
      <c r="G57" s="18"/>
      <c r="H57" s="18"/>
      <c r="I57" s="5"/>
      <c r="J57" s="5"/>
      <c r="K57" s="5"/>
      <c r="L57" s="5"/>
      <c r="M57" s="5"/>
    </row>
    <row r="58" spans="2:13">
      <c r="B58" s="3" t="str">
        <f t="shared" si="0"/>
        <v>Oct</v>
      </c>
      <c r="C58" s="3">
        <f t="shared" si="1"/>
        <v>43</v>
      </c>
      <c r="D58" s="4">
        <v>46314</v>
      </c>
      <c r="E58" s="18"/>
      <c r="F58" s="18"/>
      <c r="G58" s="18"/>
      <c r="H58" s="18"/>
      <c r="I58" s="5"/>
      <c r="J58" s="5"/>
      <c r="K58" s="5"/>
      <c r="L58" s="5"/>
      <c r="M58" s="5"/>
    </row>
    <row r="59" spans="2:13">
      <c r="B59" s="3" t="str">
        <f t="shared" si="0"/>
        <v>Oct</v>
      </c>
      <c r="C59" s="3">
        <f t="shared" si="1"/>
        <v>43</v>
      </c>
      <c r="D59" s="4">
        <v>46315</v>
      </c>
      <c r="E59" s="18"/>
      <c r="F59" s="18"/>
      <c r="G59" s="18"/>
      <c r="H59" s="18"/>
      <c r="I59" s="5"/>
      <c r="J59" s="5"/>
      <c r="K59" s="5"/>
      <c r="L59" s="5"/>
      <c r="M59" s="5"/>
    </row>
    <row r="60" spans="2:13">
      <c r="B60" s="3" t="str">
        <f t="shared" si="0"/>
        <v>Oct</v>
      </c>
      <c r="C60" s="3">
        <f t="shared" si="1"/>
        <v>43</v>
      </c>
      <c r="D60" s="4">
        <v>46316</v>
      </c>
      <c r="E60" s="18"/>
      <c r="F60" s="18"/>
      <c r="G60" s="18"/>
      <c r="H60" s="18"/>
      <c r="I60" s="5"/>
      <c r="J60" s="5"/>
      <c r="K60" s="5"/>
      <c r="L60" s="5"/>
      <c r="M60" s="5"/>
    </row>
    <row r="61" spans="2:13">
      <c r="B61" s="3" t="str">
        <f t="shared" si="0"/>
        <v>Oct</v>
      </c>
      <c r="C61" s="3">
        <f t="shared" si="1"/>
        <v>43</v>
      </c>
      <c r="D61" s="4">
        <v>46317</v>
      </c>
      <c r="E61" s="18"/>
      <c r="F61" s="18"/>
      <c r="G61" s="18"/>
      <c r="H61" s="18"/>
      <c r="I61" s="5"/>
      <c r="J61" s="5"/>
      <c r="K61" s="5"/>
      <c r="L61" s="5"/>
      <c r="M61" s="5"/>
    </row>
    <row r="62" spans="2:13">
      <c r="B62" s="3" t="str">
        <f t="shared" si="0"/>
        <v>Oct</v>
      </c>
      <c r="C62" s="3">
        <f t="shared" si="1"/>
        <v>43</v>
      </c>
      <c r="D62" s="4">
        <v>46318</v>
      </c>
      <c r="E62" s="18"/>
      <c r="F62" s="18"/>
      <c r="G62" s="18"/>
      <c r="H62" s="18"/>
      <c r="I62" s="5"/>
      <c r="J62" s="5"/>
      <c r="K62" s="5"/>
      <c r="L62" s="5"/>
      <c r="M62" s="5"/>
    </row>
    <row r="63" spans="2:13">
      <c r="B63" s="3" t="str">
        <f t="shared" si="0"/>
        <v>Oct</v>
      </c>
      <c r="C63" s="3">
        <f t="shared" si="1"/>
        <v>43</v>
      </c>
      <c r="D63" s="4">
        <v>46319</v>
      </c>
      <c r="E63" s="18"/>
      <c r="F63" s="18"/>
      <c r="G63" s="18"/>
      <c r="H63" s="18"/>
      <c r="I63" s="5"/>
      <c r="J63" s="5"/>
      <c r="K63" s="5"/>
      <c r="L63" s="5"/>
      <c r="M63" s="5"/>
    </row>
    <row r="64" spans="2:13">
      <c r="B64" s="3" t="str">
        <f t="shared" si="0"/>
        <v>Oct</v>
      </c>
      <c r="C64" s="3">
        <f t="shared" si="1"/>
        <v>44</v>
      </c>
      <c r="D64" s="4">
        <v>46320</v>
      </c>
      <c r="E64" s="18"/>
      <c r="F64" s="18"/>
      <c r="G64" s="18"/>
      <c r="H64" s="18"/>
      <c r="I64" s="5"/>
      <c r="J64" s="5"/>
      <c r="K64" s="5"/>
      <c r="L64" s="5"/>
      <c r="M64" s="5"/>
    </row>
    <row r="65" spans="2:13">
      <c r="B65" s="3" t="str">
        <f t="shared" si="0"/>
        <v>Oct</v>
      </c>
      <c r="C65" s="3">
        <f t="shared" si="1"/>
        <v>44</v>
      </c>
      <c r="D65" s="4">
        <v>46321</v>
      </c>
      <c r="E65" s="18"/>
      <c r="F65" s="18"/>
      <c r="G65" s="18"/>
      <c r="H65" s="18"/>
      <c r="I65" s="5"/>
      <c r="J65" s="5"/>
      <c r="K65" s="5"/>
      <c r="L65" s="5"/>
      <c r="M65" s="5"/>
    </row>
    <row r="66" spans="2:13">
      <c r="B66" s="3" t="str">
        <f t="shared" si="0"/>
        <v>Oct</v>
      </c>
      <c r="C66" s="3">
        <f t="shared" si="1"/>
        <v>44</v>
      </c>
      <c r="D66" s="4">
        <v>46322</v>
      </c>
      <c r="E66" s="18"/>
      <c r="F66" s="18"/>
      <c r="G66" s="18"/>
      <c r="H66" s="18"/>
      <c r="I66" s="5"/>
      <c r="J66" s="5"/>
      <c r="K66" s="5"/>
      <c r="L66" s="5"/>
      <c r="M66" s="5"/>
    </row>
    <row r="67" spans="2:13">
      <c r="B67" s="3" t="str">
        <f t="shared" si="0"/>
        <v>Oct</v>
      </c>
      <c r="C67" s="3">
        <f t="shared" si="1"/>
        <v>44</v>
      </c>
      <c r="D67" s="4">
        <v>46323</v>
      </c>
      <c r="E67" s="18"/>
      <c r="F67" s="18"/>
      <c r="G67" s="18"/>
      <c r="H67" s="18"/>
      <c r="I67" s="5"/>
      <c r="J67" s="5"/>
      <c r="K67" s="5"/>
      <c r="L67" s="5"/>
      <c r="M67" s="5"/>
    </row>
    <row r="68" spans="2:13">
      <c r="B68" s="3" t="str">
        <f t="shared" si="0"/>
        <v>Oct</v>
      </c>
      <c r="C68" s="3">
        <f t="shared" si="1"/>
        <v>44</v>
      </c>
      <c r="D68" s="4">
        <v>46324</v>
      </c>
      <c r="E68" s="18"/>
      <c r="F68" s="18"/>
      <c r="G68" s="18"/>
      <c r="H68" s="18"/>
      <c r="I68" s="5"/>
      <c r="J68" s="5"/>
      <c r="K68" s="5"/>
      <c r="L68" s="5"/>
      <c r="M68" s="5"/>
    </row>
    <row r="69" spans="2:13">
      <c r="B69" s="3" t="str">
        <f t="shared" ref="B69:B131" si="2">+TEXT(D69,"MMM")</f>
        <v>Oct</v>
      </c>
      <c r="C69" s="3">
        <f t="shared" ref="C69:C131" si="3">+WEEKNUM(D69)</f>
        <v>44</v>
      </c>
      <c r="D69" s="4">
        <v>46325</v>
      </c>
      <c r="E69" s="18"/>
      <c r="F69" s="18"/>
      <c r="G69" s="18"/>
      <c r="H69" s="18"/>
      <c r="I69" s="5"/>
      <c r="J69" s="5"/>
      <c r="K69" s="5"/>
      <c r="L69" s="5"/>
      <c r="M69" s="5"/>
    </row>
    <row r="70" spans="2:13">
      <c r="B70" s="3" t="str">
        <f t="shared" si="2"/>
        <v>Oct</v>
      </c>
      <c r="C70" s="3">
        <f t="shared" si="3"/>
        <v>44</v>
      </c>
      <c r="D70" s="4">
        <v>46326</v>
      </c>
      <c r="E70" s="18"/>
      <c r="F70" s="18"/>
      <c r="G70" s="18"/>
      <c r="H70" s="18"/>
      <c r="I70" s="5"/>
      <c r="J70" s="5"/>
      <c r="K70" s="5"/>
      <c r="L70" s="5"/>
      <c r="M70" s="5"/>
    </row>
    <row r="71" spans="2:13">
      <c r="B71" s="3" t="str">
        <f t="shared" si="2"/>
        <v>Nov</v>
      </c>
      <c r="C71" s="3">
        <f t="shared" si="3"/>
        <v>45</v>
      </c>
      <c r="D71" s="4">
        <v>46327</v>
      </c>
      <c r="E71" s="18"/>
      <c r="F71" s="18"/>
      <c r="G71" s="18"/>
      <c r="H71" s="18"/>
      <c r="I71" s="5"/>
      <c r="J71" s="5"/>
      <c r="K71" s="5"/>
      <c r="L71" s="5"/>
      <c r="M71" s="5"/>
    </row>
    <row r="72" spans="2:13">
      <c r="B72" s="3" t="str">
        <f t="shared" si="2"/>
        <v>Nov</v>
      </c>
      <c r="C72" s="3">
        <f t="shared" si="3"/>
        <v>45</v>
      </c>
      <c r="D72" s="4">
        <v>46328</v>
      </c>
      <c r="E72" s="18"/>
      <c r="F72" s="18"/>
      <c r="G72" s="18"/>
      <c r="H72" s="18"/>
      <c r="I72" s="5"/>
      <c r="J72" s="5"/>
      <c r="K72" s="5"/>
      <c r="L72" s="5"/>
      <c r="M72" s="5"/>
    </row>
    <row r="73" spans="2:13">
      <c r="B73" s="3" t="str">
        <f t="shared" si="2"/>
        <v>Nov</v>
      </c>
      <c r="C73" s="3">
        <f t="shared" si="3"/>
        <v>45</v>
      </c>
      <c r="D73" s="4">
        <v>46329</v>
      </c>
      <c r="E73" s="18"/>
      <c r="F73" s="18"/>
      <c r="G73" s="18"/>
      <c r="H73" s="18"/>
      <c r="I73" s="5"/>
      <c r="J73" s="5"/>
      <c r="K73" s="5"/>
      <c r="L73" s="5"/>
      <c r="M73" s="5"/>
    </row>
    <row r="74" spans="2:13">
      <c r="B74" s="3" t="str">
        <f t="shared" si="2"/>
        <v>Nov</v>
      </c>
      <c r="C74" s="3">
        <f t="shared" si="3"/>
        <v>45</v>
      </c>
      <c r="D74" s="4">
        <v>46330</v>
      </c>
      <c r="E74" s="18"/>
      <c r="F74" s="18"/>
      <c r="G74" s="18"/>
      <c r="H74" s="18"/>
      <c r="I74" s="5"/>
      <c r="J74" s="5"/>
      <c r="K74" s="5"/>
      <c r="L74" s="5"/>
      <c r="M74" s="5"/>
    </row>
    <row r="75" spans="2:13">
      <c r="B75" s="3" t="str">
        <f t="shared" si="2"/>
        <v>Nov</v>
      </c>
      <c r="C75" s="3">
        <f t="shared" si="3"/>
        <v>45</v>
      </c>
      <c r="D75" s="4">
        <v>46331</v>
      </c>
      <c r="E75" s="18"/>
      <c r="F75" s="18"/>
      <c r="G75" s="18"/>
      <c r="H75" s="18"/>
      <c r="I75" s="5"/>
      <c r="J75" s="5"/>
      <c r="K75" s="5"/>
      <c r="L75" s="5"/>
      <c r="M75" s="5"/>
    </row>
    <row r="76" spans="2:13">
      <c r="B76" s="3" t="str">
        <f t="shared" si="2"/>
        <v>Nov</v>
      </c>
      <c r="C76" s="3">
        <f t="shared" si="3"/>
        <v>45</v>
      </c>
      <c r="D76" s="4">
        <v>46332</v>
      </c>
      <c r="E76" s="18"/>
      <c r="F76" s="18"/>
      <c r="G76" s="18"/>
      <c r="H76" s="18"/>
      <c r="I76" s="5"/>
      <c r="J76" s="5"/>
      <c r="K76" s="5"/>
      <c r="L76" s="5"/>
      <c r="M76" s="5"/>
    </row>
    <row r="77" spans="2:13">
      <c r="B77" s="3" t="str">
        <f t="shared" si="2"/>
        <v>Nov</v>
      </c>
      <c r="C77" s="3">
        <f t="shared" si="3"/>
        <v>45</v>
      </c>
      <c r="D77" s="4">
        <v>46333</v>
      </c>
      <c r="E77" s="18"/>
      <c r="F77" s="18"/>
      <c r="G77" s="18"/>
      <c r="H77" s="18"/>
      <c r="I77" s="5"/>
      <c r="J77" s="5"/>
      <c r="K77" s="5"/>
      <c r="L77" s="5"/>
      <c r="M77" s="5"/>
    </row>
    <row r="78" spans="2:13">
      <c r="B78" s="3" t="str">
        <f t="shared" si="2"/>
        <v>Nov</v>
      </c>
      <c r="C78" s="3">
        <f t="shared" si="3"/>
        <v>46</v>
      </c>
      <c r="D78" s="4">
        <v>46334</v>
      </c>
      <c r="E78" s="18"/>
      <c r="F78" s="18"/>
      <c r="G78" s="18"/>
      <c r="H78" s="18"/>
      <c r="I78" s="5"/>
      <c r="J78" s="5"/>
      <c r="K78" s="5"/>
      <c r="L78" s="5"/>
      <c r="M78" s="5"/>
    </row>
    <row r="79" spans="2:13">
      <c r="B79" s="3" t="str">
        <f t="shared" si="2"/>
        <v>Nov</v>
      </c>
      <c r="C79" s="3">
        <f t="shared" si="3"/>
        <v>46</v>
      </c>
      <c r="D79" s="4">
        <v>46335</v>
      </c>
      <c r="E79" s="18"/>
      <c r="F79" s="18"/>
      <c r="G79" s="18"/>
      <c r="H79" s="18"/>
      <c r="I79" s="5"/>
      <c r="J79" s="5"/>
      <c r="K79" s="5"/>
      <c r="L79" s="5"/>
      <c r="M79" s="5"/>
    </row>
    <row r="80" spans="2:13">
      <c r="B80" s="3" t="str">
        <f t="shared" si="2"/>
        <v>Nov</v>
      </c>
      <c r="C80" s="3">
        <f t="shared" si="3"/>
        <v>46</v>
      </c>
      <c r="D80" s="4">
        <v>46336</v>
      </c>
      <c r="E80" s="18"/>
      <c r="F80" s="18"/>
      <c r="G80" s="18"/>
      <c r="H80" s="18"/>
      <c r="I80" s="5"/>
      <c r="J80" s="5"/>
      <c r="K80" s="5"/>
      <c r="L80" s="5"/>
      <c r="M80" s="5"/>
    </row>
    <row r="81" spans="2:13">
      <c r="B81" s="3" t="str">
        <f t="shared" si="2"/>
        <v>Nov</v>
      </c>
      <c r="C81" s="3">
        <f t="shared" si="3"/>
        <v>46</v>
      </c>
      <c r="D81" s="4">
        <v>46337</v>
      </c>
      <c r="E81" s="18"/>
      <c r="F81" s="18"/>
      <c r="G81" s="18"/>
      <c r="H81" s="18"/>
      <c r="I81" s="5"/>
      <c r="J81" s="5"/>
      <c r="K81" s="5"/>
      <c r="L81" s="5"/>
      <c r="M81" s="5"/>
    </row>
    <row r="82" spans="2:13">
      <c r="B82" s="3" t="str">
        <f t="shared" si="2"/>
        <v>Nov</v>
      </c>
      <c r="C82" s="3">
        <f t="shared" si="3"/>
        <v>46</v>
      </c>
      <c r="D82" s="4">
        <v>46338</v>
      </c>
      <c r="E82" s="18"/>
      <c r="F82" s="18"/>
      <c r="G82" s="18"/>
      <c r="H82" s="18"/>
      <c r="I82" s="5"/>
      <c r="J82" s="5"/>
      <c r="K82" s="5"/>
      <c r="L82" s="5"/>
      <c r="M82" s="5"/>
    </row>
    <row r="83" spans="2:13">
      <c r="B83" s="3" t="str">
        <f t="shared" si="2"/>
        <v>Nov</v>
      </c>
      <c r="C83" s="3">
        <f t="shared" si="3"/>
        <v>46</v>
      </c>
      <c r="D83" s="4">
        <v>46339</v>
      </c>
      <c r="E83" s="18"/>
      <c r="F83" s="18"/>
      <c r="G83" s="18"/>
      <c r="H83" s="18"/>
      <c r="I83" s="5"/>
      <c r="J83" s="5"/>
      <c r="K83" s="5"/>
      <c r="L83" s="5"/>
      <c r="M83" s="5"/>
    </row>
    <row r="84" spans="2:13">
      <c r="B84" s="3" t="str">
        <f t="shared" si="2"/>
        <v>Nov</v>
      </c>
      <c r="C84" s="3">
        <f t="shared" si="3"/>
        <v>46</v>
      </c>
      <c r="D84" s="4">
        <v>46340</v>
      </c>
      <c r="E84" s="18"/>
      <c r="F84" s="18"/>
      <c r="G84" s="18"/>
      <c r="H84" s="18"/>
      <c r="I84" s="5"/>
      <c r="J84" s="5"/>
      <c r="K84" s="5"/>
      <c r="L84" s="5"/>
      <c r="M84" s="5"/>
    </row>
    <row r="85" spans="2:13">
      <c r="B85" s="3" t="str">
        <f t="shared" si="2"/>
        <v>Nov</v>
      </c>
      <c r="C85" s="3">
        <f t="shared" si="3"/>
        <v>47</v>
      </c>
      <c r="D85" s="4">
        <v>46341</v>
      </c>
      <c r="E85" s="18"/>
      <c r="F85" s="18"/>
      <c r="G85" s="18"/>
      <c r="H85" s="18"/>
      <c r="I85" s="5"/>
      <c r="J85" s="5"/>
      <c r="K85" s="5"/>
      <c r="L85" s="5"/>
      <c r="M85" s="5"/>
    </row>
    <row r="86" spans="2:13">
      <c r="B86" s="3" t="str">
        <f t="shared" si="2"/>
        <v>Nov</v>
      </c>
      <c r="C86" s="3">
        <f t="shared" si="3"/>
        <v>47</v>
      </c>
      <c r="D86" s="4">
        <v>46342</v>
      </c>
      <c r="E86" s="18"/>
      <c r="F86" s="18"/>
      <c r="G86" s="18"/>
      <c r="H86" s="18"/>
      <c r="I86" s="5"/>
      <c r="J86" s="5"/>
      <c r="K86" s="5"/>
      <c r="L86" s="5"/>
      <c r="M86" s="5"/>
    </row>
    <row r="87" spans="2:13">
      <c r="B87" s="3" t="str">
        <f t="shared" si="2"/>
        <v>Nov</v>
      </c>
      <c r="C87" s="3">
        <f t="shared" si="3"/>
        <v>47</v>
      </c>
      <c r="D87" s="4">
        <v>46343</v>
      </c>
      <c r="E87" s="18"/>
      <c r="F87" s="18"/>
      <c r="G87" s="18"/>
      <c r="H87" s="18"/>
      <c r="I87" s="5"/>
      <c r="J87" s="5"/>
      <c r="K87" s="5"/>
      <c r="L87" s="5"/>
      <c r="M87" s="5"/>
    </row>
    <row r="88" spans="2:13">
      <c r="B88" s="3" t="str">
        <f t="shared" si="2"/>
        <v>Nov</v>
      </c>
      <c r="C88" s="3">
        <f t="shared" si="3"/>
        <v>47</v>
      </c>
      <c r="D88" s="4">
        <v>46344</v>
      </c>
      <c r="E88" s="18"/>
      <c r="F88" s="18"/>
      <c r="G88" s="18"/>
      <c r="H88" s="18"/>
      <c r="I88" s="5"/>
      <c r="J88" s="5"/>
      <c r="K88" s="5"/>
      <c r="L88" s="5"/>
      <c r="M88" s="5"/>
    </row>
    <row r="89" spans="2:13">
      <c r="B89" s="3" t="str">
        <f t="shared" si="2"/>
        <v>Nov</v>
      </c>
      <c r="C89" s="3">
        <f t="shared" si="3"/>
        <v>47</v>
      </c>
      <c r="D89" s="4">
        <v>46345</v>
      </c>
      <c r="E89" s="18"/>
      <c r="F89" s="18"/>
      <c r="G89" s="18"/>
      <c r="H89" s="18"/>
      <c r="I89" s="5"/>
      <c r="J89" s="5"/>
      <c r="K89" s="5"/>
      <c r="L89" s="5"/>
      <c r="M89" s="5"/>
    </row>
    <row r="90" spans="2:13">
      <c r="B90" s="3" t="str">
        <f t="shared" si="2"/>
        <v>Nov</v>
      </c>
      <c r="C90" s="3">
        <f t="shared" si="3"/>
        <v>47</v>
      </c>
      <c r="D90" s="4">
        <v>46346</v>
      </c>
      <c r="E90" s="18"/>
      <c r="F90" s="18"/>
      <c r="G90" s="18"/>
      <c r="H90" s="18"/>
      <c r="I90" s="5"/>
      <c r="J90" s="5"/>
      <c r="K90" s="5"/>
      <c r="L90" s="5"/>
      <c r="M90" s="5"/>
    </row>
    <row r="91" spans="2:13">
      <c r="B91" s="3" t="str">
        <f t="shared" si="2"/>
        <v>Nov</v>
      </c>
      <c r="C91" s="3">
        <f t="shared" si="3"/>
        <v>47</v>
      </c>
      <c r="D91" s="4">
        <v>46347</v>
      </c>
      <c r="E91" s="18"/>
      <c r="F91" s="18"/>
      <c r="G91" s="18"/>
      <c r="H91" s="18"/>
      <c r="I91" s="5"/>
      <c r="J91" s="5"/>
      <c r="K91" s="5"/>
      <c r="L91" s="5"/>
      <c r="M91" s="5"/>
    </row>
    <row r="92" spans="2:13">
      <c r="B92" s="3" t="str">
        <f t="shared" si="2"/>
        <v>Nov</v>
      </c>
      <c r="C92" s="3">
        <f t="shared" si="3"/>
        <v>48</v>
      </c>
      <c r="D92" s="4">
        <v>46348</v>
      </c>
      <c r="E92" s="18"/>
      <c r="F92" s="18"/>
      <c r="G92" s="18"/>
      <c r="H92" s="18"/>
      <c r="I92" s="5"/>
      <c r="J92" s="5"/>
      <c r="K92" s="5"/>
      <c r="L92" s="5"/>
      <c r="M92" s="5"/>
    </row>
    <row r="93" spans="2:13">
      <c r="B93" s="3" t="str">
        <f t="shared" si="2"/>
        <v>Nov</v>
      </c>
      <c r="C93" s="3">
        <f t="shared" si="3"/>
        <v>48</v>
      </c>
      <c r="D93" s="4">
        <v>46349</v>
      </c>
      <c r="E93" s="18"/>
      <c r="F93" s="18"/>
      <c r="G93" s="18"/>
      <c r="H93" s="18"/>
      <c r="I93" s="5"/>
      <c r="J93" s="5"/>
      <c r="K93" s="5"/>
      <c r="L93" s="5"/>
      <c r="M93" s="5"/>
    </row>
    <row r="94" spans="2:13">
      <c r="B94" s="3" t="str">
        <f t="shared" si="2"/>
        <v>Nov</v>
      </c>
      <c r="C94" s="3">
        <f t="shared" si="3"/>
        <v>48</v>
      </c>
      <c r="D94" s="4">
        <v>46350</v>
      </c>
      <c r="E94" s="18"/>
      <c r="F94" s="18"/>
      <c r="G94" s="18"/>
      <c r="H94" s="18"/>
      <c r="I94" s="5"/>
      <c r="J94" s="5"/>
      <c r="K94" s="5"/>
      <c r="L94" s="5"/>
      <c r="M94" s="5"/>
    </row>
    <row r="95" spans="2:13">
      <c r="B95" s="3" t="str">
        <f t="shared" si="2"/>
        <v>Nov</v>
      </c>
      <c r="C95" s="3">
        <f t="shared" si="3"/>
        <v>48</v>
      </c>
      <c r="D95" s="4">
        <v>46351</v>
      </c>
      <c r="E95" s="18"/>
      <c r="F95" s="18"/>
      <c r="G95" s="18"/>
      <c r="H95" s="18"/>
      <c r="I95" s="5"/>
      <c r="J95" s="5"/>
      <c r="K95" s="5"/>
      <c r="L95" s="5"/>
      <c r="M95" s="5"/>
    </row>
    <row r="96" spans="2:13">
      <c r="B96" s="3" t="str">
        <f t="shared" si="2"/>
        <v>Nov</v>
      </c>
      <c r="C96" s="3">
        <f t="shared" si="3"/>
        <v>48</v>
      </c>
      <c r="D96" s="4">
        <v>46352</v>
      </c>
      <c r="E96" s="18"/>
      <c r="F96" s="18"/>
      <c r="G96" s="18"/>
      <c r="H96" s="18"/>
      <c r="I96" s="5"/>
      <c r="J96" s="5"/>
      <c r="K96" s="5"/>
      <c r="L96" s="5"/>
      <c r="M96" s="5"/>
    </row>
    <row r="97" spans="2:13">
      <c r="B97" s="3" t="str">
        <f t="shared" si="2"/>
        <v>Nov</v>
      </c>
      <c r="C97" s="3">
        <f t="shared" si="3"/>
        <v>48</v>
      </c>
      <c r="D97" s="4">
        <v>46353</v>
      </c>
      <c r="E97" s="18"/>
      <c r="F97" s="18"/>
      <c r="G97" s="18"/>
      <c r="H97" s="18"/>
      <c r="I97" s="5"/>
      <c r="J97" s="5"/>
      <c r="K97" s="5"/>
      <c r="L97" s="5"/>
      <c r="M97" s="5"/>
    </row>
    <row r="98" spans="2:13">
      <c r="B98" s="3" t="str">
        <f t="shared" si="2"/>
        <v>Nov</v>
      </c>
      <c r="C98" s="3">
        <f t="shared" si="3"/>
        <v>48</v>
      </c>
      <c r="D98" s="4">
        <v>46354</v>
      </c>
      <c r="E98" s="18"/>
      <c r="F98" s="18"/>
      <c r="G98" s="18"/>
      <c r="H98" s="18"/>
      <c r="I98" s="5"/>
      <c r="J98" s="5"/>
      <c r="K98" s="5"/>
      <c r="L98" s="5"/>
      <c r="M98" s="5"/>
    </row>
    <row r="99" spans="2:13">
      <c r="B99" s="3" t="str">
        <f t="shared" si="2"/>
        <v>Nov</v>
      </c>
      <c r="C99" s="3">
        <f t="shared" si="3"/>
        <v>49</v>
      </c>
      <c r="D99" s="4">
        <v>46355</v>
      </c>
      <c r="E99" s="18"/>
      <c r="F99" s="18"/>
      <c r="G99" s="18"/>
      <c r="H99" s="18"/>
      <c r="I99" s="5"/>
      <c r="J99" s="5"/>
      <c r="K99" s="5"/>
      <c r="L99" s="5"/>
      <c r="M99" s="5"/>
    </row>
    <row r="100" spans="2:13">
      <c r="B100" s="3" t="str">
        <f t="shared" si="2"/>
        <v>Nov</v>
      </c>
      <c r="C100" s="3">
        <f t="shared" si="3"/>
        <v>49</v>
      </c>
      <c r="D100" s="4">
        <v>46356</v>
      </c>
      <c r="E100" s="18"/>
      <c r="F100" s="18"/>
      <c r="G100" s="18"/>
      <c r="H100" s="18"/>
      <c r="I100" s="5"/>
      <c r="J100" s="5"/>
      <c r="K100" s="5"/>
      <c r="L100" s="5"/>
      <c r="M100" s="5"/>
    </row>
    <row r="101" spans="2:13">
      <c r="B101" s="3" t="str">
        <f t="shared" si="2"/>
        <v>Dec</v>
      </c>
      <c r="C101" s="3">
        <f t="shared" si="3"/>
        <v>49</v>
      </c>
      <c r="D101" s="4">
        <v>46357</v>
      </c>
      <c r="E101" s="18"/>
      <c r="F101" s="18"/>
      <c r="G101" s="18"/>
      <c r="H101" s="18"/>
      <c r="I101" s="5"/>
      <c r="J101" s="5"/>
      <c r="K101" s="5"/>
      <c r="L101" s="5"/>
      <c r="M101" s="5"/>
    </row>
    <row r="102" spans="2:13">
      <c r="B102" s="3" t="str">
        <f t="shared" si="2"/>
        <v>Dec</v>
      </c>
      <c r="C102" s="3">
        <f t="shared" si="3"/>
        <v>49</v>
      </c>
      <c r="D102" s="4">
        <v>46358</v>
      </c>
      <c r="E102" s="18"/>
      <c r="F102" s="18"/>
      <c r="G102" s="18"/>
      <c r="H102" s="18"/>
      <c r="I102" s="5"/>
      <c r="J102" s="5"/>
      <c r="K102" s="5"/>
      <c r="L102" s="5"/>
      <c r="M102" s="5"/>
    </row>
    <row r="103" spans="2:13">
      <c r="B103" s="3" t="str">
        <f t="shared" si="2"/>
        <v>Dec</v>
      </c>
      <c r="C103" s="3">
        <f t="shared" si="3"/>
        <v>49</v>
      </c>
      <c r="D103" s="4">
        <v>46359</v>
      </c>
      <c r="E103" s="18"/>
      <c r="F103" s="18"/>
      <c r="G103" s="18"/>
      <c r="H103" s="18"/>
      <c r="I103" s="5"/>
      <c r="J103" s="5"/>
      <c r="K103" s="5"/>
      <c r="L103" s="5"/>
      <c r="M103" s="5"/>
    </row>
    <row r="104" spans="2:13">
      <c r="B104" s="3" t="str">
        <f t="shared" si="2"/>
        <v>Dec</v>
      </c>
      <c r="C104" s="3">
        <f t="shared" si="3"/>
        <v>49</v>
      </c>
      <c r="D104" s="4">
        <v>46360</v>
      </c>
      <c r="E104" s="18"/>
      <c r="F104" s="18"/>
      <c r="G104" s="18"/>
      <c r="H104" s="18"/>
      <c r="I104" s="5"/>
      <c r="J104" s="5"/>
      <c r="K104" s="5"/>
      <c r="L104" s="5"/>
      <c r="M104" s="5"/>
    </row>
    <row r="105" spans="2:13">
      <c r="B105" s="3" t="str">
        <f t="shared" si="2"/>
        <v>Dec</v>
      </c>
      <c r="C105" s="3">
        <f t="shared" si="3"/>
        <v>49</v>
      </c>
      <c r="D105" s="4">
        <v>46361</v>
      </c>
      <c r="E105" s="18"/>
      <c r="F105" s="18"/>
      <c r="G105" s="18"/>
      <c r="H105" s="18"/>
      <c r="I105" s="5"/>
      <c r="J105" s="5"/>
      <c r="K105" s="5"/>
      <c r="L105" s="5"/>
      <c r="M105" s="5"/>
    </row>
    <row r="106" spans="2:13">
      <c r="B106" s="3" t="str">
        <f t="shared" si="2"/>
        <v>Dec</v>
      </c>
      <c r="C106" s="3">
        <f t="shared" si="3"/>
        <v>50</v>
      </c>
      <c r="D106" s="4">
        <v>46362</v>
      </c>
      <c r="E106" s="18"/>
      <c r="F106" s="18"/>
      <c r="G106" s="18"/>
      <c r="H106" s="18"/>
      <c r="I106" s="5"/>
      <c r="J106" s="5"/>
      <c r="K106" s="5"/>
      <c r="L106" s="5"/>
      <c r="M106" s="5"/>
    </row>
    <row r="107" spans="2:13">
      <c r="B107" s="3" t="str">
        <f t="shared" si="2"/>
        <v>Dec</v>
      </c>
      <c r="C107" s="3">
        <f t="shared" si="3"/>
        <v>50</v>
      </c>
      <c r="D107" s="4">
        <v>46363</v>
      </c>
      <c r="E107" s="18"/>
      <c r="F107" s="18"/>
      <c r="G107" s="18"/>
      <c r="H107" s="18"/>
      <c r="I107" s="5"/>
      <c r="J107" s="5"/>
      <c r="K107" s="5"/>
      <c r="L107" s="5"/>
      <c r="M107" s="5"/>
    </row>
    <row r="108" spans="2:13">
      <c r="B108" s="3" t="str">
        <f t="shared" si="2"/>
        <v>Dec</v>
      </c>
      <c r="C108" s="3">
        <f t="shared" si="3"/>
        <v>50</v>
      </c>
      <c r="D108" s="4">
        <v>46364</v>
      </c>
      <c r="E108" s="18"/>
      <c r="F108" s="18"/>
      <c r="G108" s="18"/>
      <c r="H108" s="18"/>
      <c r="I108" s="5"/>
      <c r="J108" s="5"/>
      <c r="K108" s="5"/>
      <c r="L108" s="5"/>
      <c r="M108" s="5"/>
    </row>
    <row r="109" spans="2:13">
      <c r="B109" s="3" t="str">
        <f t="shared" si="2"/>
        <v>Dec</v>
      </c>
      <c r="C109" s="3">
        <f t="shared" si="3"/>
        <v>50</v>
      </c>
      <c r="D109" s="4">
        <v>46365</v>
      </c>
      <c r="E109" s="18"/>
      <c r="F109" s="18"/>
      <c r="G109" s="18"/>
      <c r="H109" s="18"/>
      <c r="I109" s="5"/>
      <c r="J109" s="5"/>
      <c r="K109" s="5"/>
      <c r="L109" s="5"/>
      <c r="M109" s="5"/>
    </row>
    <row r="110" spans="2:13">
      <c r="B110" s="3" t="str">
        <f t="shared" si="2"/>
        <v>Dec</v>
      </c>
      <c r="C110" s="3">
        <f t="shared" si="3"/>
        <v>50</v>
      </c>
      <c r="D110" s="4">
        <v>46366</v>
      </c>
      <c r="E110" s="18"/>
      <c r="F110" s="18"/>
      <c r="G110" s="18"/>
      <c r="H110" s="18"/>
      <c r="I110" s="5"/>
      <c r="J110" s="5"/>
      <c r="K110" s="5"/>
      <c r="L110" s="5"/>
      <c r="M110" s="5"/>
    </row>
    <row r="111" spans="2:13">
      <c r="B111" s="3" t="str">
        <f t="shared" si="2"/>
        <v>Dec</v>
      </c>
      <c r="C111" s="3">
        <f t="shared" si="3"/>
        <v>50</v>
      </c>
      <c r="D111" s="4">
        <v>46367</v>
      </c>
      <c r="E111" s="18"/>
      <c r="F111" s="18"/>
      <c r="G111" s="18"/>
      <c r="H111" s="18"/>
      <c r="I111" s="5"/>
      <c r="J111" s="5"/>
      <c r="K111" s="5"/>
      <c r="L111" s="5"/>
      <c r="M111" s="5"/>
    </row>
    <row r="112" spans="2:13">
      <c r="B112" s="3" t="str">
        <f t="shared" si="2"/>
        <v>Dec</v>
      </c>
      <c r="C112" s="3">
        <f t="shared" si="3"/>
        <v>50</v>
      </c>
      <c r="D112" s="4">
        <v>46368</v>
      </c>
      <c r="E112" s="18"/>
      <c r="F112" s="18"/>
      <c r="G112" s="18"/>
      <c r="H112" s="18"/>
      <c r="I112" s="5"/>
      <c r="J112" s="5"/>
      <c r="K112" s="5"/>
      <c r="L112" s="5"/>
      <c r="M112" s="5"/>
    </row>
    <row r="113" spans="2:13">
      <c r="B113" s="3" t="str">
        <f t="shared" si="2"/>
        <v>Dec</v>
      </c>
      <c r="C113" s="3">
        <f t="shared" si="3"/>
        <v>51</v>
      </c>
      <c r="D113" s="4">
        <v>46369</v>
      </c>
      <c r="E113" s="18"/>
      <c r="F113" s="18"/>
      <c r="G113" s="18"/>
      <c r="H113" s="18"/>
      <c r="I113" s="5"/>
      <c r="J113" s="5"/>
      <c r="K113" s="5"/>
      <c r="L113" s="5"/>
      <c r="M113" s="5"/>
    </row>
    <row r="114" spans="2:13">
      <c r="B114" s="3" t="str">
        <f t="shared" si="2"/>
        <v>Dec</v>
      </c>
      <c r="C114" s="3">
        <f t="shared" si="3"/>
        <v>51</v>
      </c>
      <c r="D114" s="4">
        <v>46370</v>
      </c>
      <c r="E114" s="18"/>
      <c r="F114" s="18"/>
      <c r="G114" s="18"/>
      <c r="H114" s="18"/>
      <c r="I114" s="5"/>
      <c r="J114" s="5"/>
      <c r="K114" s="5"/>
      <c r="L114" s="5"/>
      <c r="M114" s="5"/>
    </row>
    <row r="115" spans="2:13">
      <c r="B115" s="3" t="str">
        <f t="shared" si="2"/>
        <v>Dec</v>
      </c>
      <c r="C115" s="3">
        <f t="shared" si="3"/>
        <v>51</v>
      </c>
      <c r="D115" s="4">
        <v>46371</v>
      </c>
      <c r="E115" s="18"/>
      <c r="F115" s="18"/>
      <c r="G115" s="18"/>
      <c r="H115" s="18"/>
      <c r="I115" s="5"/>
      <c r="J115" s="5"/>
      <c r="K115" s="5"/>
      <c r="L115" s="5"/>
      <c r="M115" s="5"/>
    </row>
    <row r="116" spans="2:13">
      <c r="B116" s="3" t="str">
        <f t="shared" si="2"/>
        <v>Dec</v>
      </c>
      <c r="C116" s="3">
        <f t="shared" si="3"/>
        <v>51</v>
      </c>
      <c r="D116" s="4">
        <v>46372</v>
      </c>
      <c r="E116" s="18"/>
      <c r="F116" s="18"/>
      <c r="G116" s="18"/>
      <c r="H116" s="18"/>
      <c r="I116" s="5"/>
      <c r="J116" s="5"/>
      <c r="K116" s="5"/>
      <c r="L116" s="5"/>
      <c r="M116" s="5"/>
    </row>
    <row r="117" spans="2:13">
      <c r="B117" s="3" t="str">
        <f t="shared" si="2"/>
        <v>Dec</v>
      </c>
      <c r="C117" s="3">
        <f t="shared" si="3"/>
        <v>51</v>
      </c>
      <c r="D117" s="4">
        <v>46373</v>
      </c>
      <c r="E117" s="18"/>
      <c r="F117" s="18"/>
      <c r="G117" s="18"/>
      <c r="H117" s="18"/>
      <c r="I117" s="5"/>
      <c r="J117" s="5"/>
      <c r="K117" s="5"/>
      <c r="L117" s="5"/>
      <c r="M117" s="5"/>
    </row>
    <row r="118" spans="2:13">
      <c r="B118" s="3" t="str">
        <f t="shared" si="2"/>
        <v>Dec</v>
      </c>
      <c r="C118" s="3">
        <f t="shared" si="3"/>
        <v>51</v>
      </c>
      <c r="D118" s="4">
        <v>46374</v>
      </c>
      <c r="E118" s="18"/>
      <c r="F118" s="18"/>
      <c r="G118" s="18"/>
      <c r="H118" s="18"/>
      <c r="I118" s="5"/>
      <c r="J118" s="5"/>
      <c r="K118" s="5"/>
      <c r="L118" s="5"/>
      <c r="M118" s="5"/>
    </row>
    <row r="119" spans="2:13">
      <c r="B119" s="3" t="str">
        <f t="shared" si="2"/>
        <v>Dec</v>
      </c>
      <c r="C119" s="3">
        <f t="shared" si="3"/>
        <v>51</v>
      </c>
      <c r="D119" s="4">
        <v>46375</v>
      </c>
      <c r="E119" s="18"/>
      <c r="F119" s="18"/>
      <c r="G119" s="18"/>
      <c r="H119" s="18"/>
      <c r="I119" s="5"/>
      <c r="J119" s="5"/>
      <c r="K119" s="5"/>
      <c r="L119" s="5"/>
      <c r="M119" s="5"/>
    </row>
    <row r="120" spans="2:13">
      <c r="B120" s="3" t="str">
        <f t="shared" si="2"/>
        <v>Dec</v>
      </c>
      <c r="C120" s="3">
        <f t="shared" si="3"/>
        <v>52</v>
      </c>
      <c r="D120" s="4">
        <v>46376</v>
      </c>
      <c r="E120" s="18"/>
      <c r="F120" s="18"/>
      <c r="G120" s="18"/>
      <c r="H120" s="18"/>
      <c r="I120" s="5"/>
      <c r="J120" s="5"/>
      <c r="K120" s="5"/>
      <c r="L120" s="5"/>
      <c r="M120" s="5"/>
    </row>
    <row r="121" spans="2:13">
      <c r="B121" s="3" t="str">
        <f t="shared" si="2"/>
        <v>Dec</v>
      </c>
      <c r="C121" s="3">
        <f t="shared" si="3"/>
        <v>52</v>
      </c>
      <c r="D121" s="4">
        <v>46377</v>
      </c>
      <c r="E121" s="18"/>
      <c r="F121" s="18"/>
      <c r="G121" s="18"/>
      <c r="H121" s="18"/>
      <c r="I121" s="5"/>
      <c r="J121" s="5"/>
      <c r="K121" s="5"/>
      <c r="L121" s="5"/>
      <c r="M121" s="5"/>
    </row>
    <row r="122" spans="2:13">
      <c r="B122" s="3" t="str">
        <f t="shared" si="2"/>
        <v>Dec</v>
      </c>
      <c r="C122" s="3">
        <f t="shared" si="3"/>
        <v>52</v>
      </c>
      <c r="D122" s="4">
        <v>46378</v>
      </c>
      <c r="E122" s="18"/>
      <c r="F122" s="18"/>
      <c r="G122" s="18"/>
      <c r="H122" s="18"/>
      <c r="I122" s="5"/>
      <c r="J122" s="5"/>
      <c r="K122" s="5"/>
      <c r="L122" s="5"/>
      <c r="M122" s="5"/>
    </row>
    <row r="123" spans="2:13">
      <c r="B123" s="3" t="str">
        <f t="shared" si="2"/>
        <v>Dec</v>
      </c>
      <c r="C123" s="3">
        <f t="shared" si="3"/>
        <v>52</v>
      </c>
      <c r="D123" s="4">
        <v>46379</v>
      </c>
      <c r="E123" s="18"/>
      <c r="F123" s="18"/>
      <c r="G123" s="18"/>
      <c r="H123" s="18"/>
      <c r="I123" s="5"/>
      <c r="J123" s="5"/>
      <c r="K123" s="5"/>
      <c r="L123" s="5"/>
      <c r="M123" s="5"/>
    </row>
    <row r="124" spans="2:13">
      <c r="B124" s="3" t="str">
        <f t="shared" si="2"/>
        <v>Dec</v>
      </c>
      <c r="C124" s="3">
        <f t="shared" si="3"/>
        <v>52</v>
      </c>
      <c r="D124" s="4">
        <v>46380</v>
      </c>
      <c r="E124" s="18"/>
      <c r="F124" s="18"/>
      <c r="G124" s="18"/>
      <c r="H124" s="18"/>
      <c r="I124" s="5"/>
      <c r="J124" s="5"/>
      <c r="K124" s="5"/>
      <c r="L124" s="5"/>
      <c r="M124" s="5"/>
    </row>
    <row r="125" spans="2:13">
      <c r="B125" s="3" t="str">
        <f t="shared" si="2"/>
        <v>Dec</v>
      </c>
      <c r="C125" s="3">
        <f t="shared" si="3"/>
        <v>52</v>
      </c>
      <c r="D125" s="4">
        <v>46381</v>
      </c>
      <c r="E125" s="18"/>
      <c r="F125" s="18"/>
      <c r="G125" s="18"/>
      <c r="H125" s="18"/>
      <c r="I125" s="5"/>
      <c r="J125" s="5"/>
      <c r="K125" s="5"/>
      <c r="L125" s="5"/>
      <c r="M125" s="5"/>
    </row>
    <row r="126" spans="2:13">
      <c r="B126" s="3" t="str">
        <f t="shared" si="2"/>
        <v>Dec</v>
      </c>
      <c r="C126" s="3">
        <f t="shared" si="3"/>
        <v>52</v>
      </c>
      <c r="D126" s="4">
        <v>46382</v>
      </c>
      <c r="E126" s="18"/>
      <c r="F126" s="18"/>
      <c r="G126" s="18"/>
      <c r="H126" s="18"/>
      <c r="I126" s="5"/>
      <c r="J126" s="5"/>
      <c r="K126" s="5"/>
      <c r="L126" s="5"/>
      <c r="M126" s="5"/>
    </row>
    <row r="127" spans="2:13">
      <c r="B127" s="3" t="str">
        <f t="shared" si="2"/>
        <v>Dec</v>
      </c>
      <c r="C127" s="3">
        <f t="shared" si="3"/>
        <v>53</v>
      </c>
      <c r="D127" s="4">
        <v>46383</v>
      </c>
      <c r="E127" s="18"/>
      <c r="F127" s="18"/>
      <c r="G127" s="18"/>
      <c r="H127" s="18"/>
      <c r="I127" s="5"/>
      <c r="J127" s="5"/>
      <c r="K127" s="5"/>
      <c r="L127" s="5"/>
      <c r="M127" s="5"/>
    </row>
    <row r="128" spans="2:13">
      <c r="B128" s="3" t="str">
        <f t="shared" si="2"/>
        <v>Dec</v>
      </c>
      <c r="C128" s="3">
        <f t="shared" si="3"/>
        <v>53</v>
      </c>
      <c r="D128" s="4">
        <v>46384</v>
      </c>
      <c r="E128" s="18"/>
      <c r="F128" s="18"/>
      <c r="G128" s="18"/>
      <c r="H128" s="18"/>
      <c r="I128" s="5"/>
      <c r="J128" s="5"/>
      <c r="K128" s="5"/>
      <c r="L128" s="5"/>
      <c r="M128" s="5"/>
    </row>
    <row r="129" spans="2:13">
      <c r="B129" s="3" t="str">
        <f t="shared" si="2"/>
        <v>Dec</v>
      </c>
      <c r="C129" s="3">
        <f t="shared" si="3"/>
        <v>53</v>
      </c>
      <c r="D129" s="4">
        <v>46385</v>
      </c>
      <c r="E129" s="18"/>
      <c r="F129" s="18"/>
      <c r="G129" s="18"/>
      <c r="H129" s="18"/>
      <c r="I129" s="5"/>
      <c r="J129" s="5"/>
      <c r="K129" s="5"/>
      <c r="L129" s="5"/>
      <c r="M129" s="5"/>
    </row>
    <row r="130" spans="2:13">
      <c r="B130" s="3" t="str">
        <f t="shared" si="2"/>
        <v>Dec</v>
      </c>
      <c r="C130" s="3">
        <f t="shared" si="3"/>
        <v>53</v>
      </c>
      <c r="D130" s="4">
        <v>46386</v>
      </c>
      <c r="E130" s="18"/>
      <c r="F130" s="18"/>
      <c r="G130" s="18"/>
      <c r="H130" s="18"/>
      <c r="I130" s="5"/>
      <c r="J130" s="5"/>
      <c r="K130" s="5"/>
      <c r="L130" s="5"/>
      <c r="M130" s="5"/>
    </row>
    <row r="131" spans="2:13">
      <c r="B131" s="3" t="str">
        <f t="shared" si="2"/>
        <v>Dec</v>
      </c>
      <c r="C131" s="3">
        <f t="shared" si="3"/>
        <v>53</v>
      </c>
      <c r="D131" s="4">
        <v>46387</v>
      </c>
      <c r="E131" s="18"/>
      <c r="F131" s="18"/>
      <c r="G131" s="18"/>
      <c r="H131" s="18"/>
      <c r="I131" s="5"/>
      <c r="J131" s="5"/>
      <c r="K131" s="5"/>
      <c r="L131" s="5"/>
      <c r="M131" s="5"/>
    </row>
    <row r="1048576" spans="11:11">
      <c r="K1048576" s="5" t="s">
        <v>173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2D5D0-28BE-41ED-8C32-52AF0B1B7B94}">
  <dimension ref="A1:K19"/>
  <sheetViews>
    <sheetView workbookViewId="0">
      <selection activeCell="B5" sqref="B5:B19"/>
    </sheetView>
  </sheetViews>
  <sheetFormatPr defaultRowHeight="15.75"/>
  <cols>
    <col min="1" max="1" width="11" bestFit="1" customWidth="1"/>
    <col min="2" max="2" width="10.875" bestFit="1" customWidth="1"/>
    <col min="3" max="3" width="11" bestFit="1" customWidth="1"/>
    <col min="4" max="4" width="12.75" customWidth="1"/>
    <col min="5" max="5" width="37.5" bestFit="1" customWidth="1"/>
    <col min="6" max="6" width="16.625" bestFit="1" customWidth="1"/>
    <col min="7" max="7" width="37.5" bestFit="1" customWidth="1"/>
    <col min="8" max="8" width="12.375" customWidth="1"/>
    <col min="9" max="9" width="18.5" customWidth="1"/>
    <col min="10" max="10" width="15.375" bestFit="1" customWidth="1"/>
    <col min="11" max="11" width="20.5" bestFit="1" customWidth="1"/>
    <col min="12" max="12" width="7.75" bestFit="1" customWidth="1"/>
  </cols>
  <sheetData>
    <row r="1" spans="1:11">
      <c r="A1" s="37"/>
      <c r="B1" s="37"/>
      <c r="C1" s="60" t="s">
        <v>182</v>
      </c>
      <c r="D1" s="60" t="s">
        <v>183</v>
      </c>
      <c r="E1" s="60" t="s">
        <v>184</v>
      </c>
      <c r="F1" s="60" t="s">
        <v>185</v>
      </c>
      <c r="G1" s="60" t="s">
        <v>186</v>
      </c>
      <c r="H1" s="60" t="s">
        <v>187</v>
      </c>
      <c r="I1" s="60" t="s">
        <v>188</v>
      </c>
      <c r="J1" s="60" t="s">
        <v>189</v>
      </c>
      <c r="K1" s="66" t="s">
        <v>190</v>
      </c>
    </row>
    <row r="2" spans="1:11">
      <c r="A2" s="61"/>
      <c r="B2" s="61" t="s">
        <v>191</v>
      </c>
      <c r="C2" s="47" t="s">
        <v>192</v>
      </c>
      <c r="D2" s="47" t="s">
        <v>193</v>
      </c>
      <c r="E2" s="47" t="s">
        <v>194</v>
      </c>
      <c r="F2" s="47" t="s">
        <v>195</v>
      </c>
      <c r="G2" s="47" t="s">
        <v>196</v>
      </c>
      <c r="H2" s="47" t="s">
        <v>197</v>
      </c>
      <c r="I2" s="47" t="s">
        <v>198</v>
      </c>
      <c r="J2" s="47" t="s">
        <v>199</v>
      </c>
      <c r="K2" s="67" t="s">
        <v>200</v>
      </c>
    </row>
    <row r="3" spans="1:11">
      <c r="A3" s="62" t="s">
        <v>201</v>
      </c>
      <c r="B3" s="63">
        <f>SUM(C3:J3)</f>
        <v>199934.86</v>
      </c>
      <c r="C3" s="65">
        <v>158216.85999999999</v>
      </c>
      <c r="D3" s="65">
        <v>33384.699999999997</v>
      </c>
      <c r="E3" s="65">
        <v>600.5</v>
      </c>
      <c r="F3" s="65">
        <v>3467.6</v>
      </c>
      <c r="G3" s="65">
        <v>0</v>
      </c>
      <c r="H3" s="65">
        <v>0</v>
      </c>
      <c r="I3" s="65">
        <v>2349.15</v>
      </c>
      <c r="J3" s="65">
        <v>1916.05</v>
      </c>
      <c r="K3" s="65"/>
    </row>
    <row r="4" spans="1:11">
      <c r="A4" s="62">
        <v>46265</v>
      </c>
      <c r="B4" s="63">
        <f>SUM(C4:J4)</f>
        <v>32085.96</v>
      </c>
      <c r="C4" s="65">
        <v>24289.66</v>
      </c>
      <c r="D4" s="65">
        <v>3522.8</v>
      </c>
      <c r="E4" s="65">
        <v>148.19</v>
      </c>
      <c r="F4" s="65">
        <v>1930.63</v>
      </c>
      <c r="G4" s="65">
        <v>230</v>
      </c>
      <c r="H4" s="65">
        <v>0</v>
      </c>
      <c r="I4" s="65">
        <v>1531.66</v>
      </c>
      <c r="J4" s="65">
        <v>433.02</v>
      </c>
      <c r="K4" s="65"/>
    </row>
    <row r="5" spans="1:11">
      <c r="A5" s="62">
        <v>46272</v>
      </c>
      <c r="B5" s="63">
        <f>SUM(C5:J5)</f>
        <v>43276.490000000005</v>
      </c>
      <c r="C5" s="59">
        <v>40836.76</v>
      </c>
      <c r="D5" s="59">
        <v>0</v>
      </c>
      <c r="E5" s="59">
        <v>76.900000000000006</v>
      </c>
      <c r="F5" s="59">
        <v>1482.83</v>
      </c>
      <c r="G5" s="59">
        <v>0</v>
      </c>
      <c r="H5" s="59">
        <v>880</v>
      </c>
      <c r="I5" s="59"/>
      <c r="J5" s="59"/>
      <c r="K5" s="65"/>
    </row>
    <row r="6" spans="1:11">
      <c r="A6" s="62">
        <f>A5+7</f>
        <v>46279</v>
      </c>
      <c r="B6" s="63">
        <f>SUM(C6:J6)</f>
        <v>23768.58</v>
      </c>
      <c r="C6" s="59">
        <v>22968.080000000002</v>
      </c>
      <c r="D6" s="59">
        <v>0</v>
      </c>
      <c r="E6" s="59">
        <v>0</v>
      </c>
      <c r="F6" s="59">
        <v>800.5</v>
      </c>
      <c r="G6" s="59">
        <v>0</v>
      </c>
      <c r="H6" s="59">
        <v>0</v>
      </c>
      <c r="I6" s="59">
        <v>0</v>
      </c>
      <c r="J6" s="59">
        <v>0</v>
      </c>
      <c r="K6" s="65"/>
    </row>
    <row r="7" spans="1:11">
      <c r="A7" s="62">
        <f t="shared" ref="A7:A19" si="0">A6+7</f>
        <v>46286</v>
      </c>
      <c r="B7" s="63">
        <f>SUM(C7:K7)</f>
        <v>57337.939999999995</v>
      </c>
      <c r="C7" s="65">
        <v>53313.54</v>
      </c>
      <c r="D7" s="65"/>
      <c r="E7" s="65"/>
      <c r="F7" s="65">
        <v>3236.99</v>
      </c>
      <c r="G7" s="65">
        <v>67.5</v>
      </c>
      <c r="H7" s="65"/>
      <c r="I7" s="65">
        <v>488.7</v>
      </c>
      <c r="J7" s="65"/>
      <c r="K7" s="65">
        <v>231.21</v>
      </c>
    </row>
    <row r="8" spans="1:11">
      <c r="A8" s="62">
        <f t="shared" si="0"/>
        <v>46293</v>
      </c>
      <c r="B8" s="64"/>
      <c r="C8" s="61"/>
      <c r="D8" s="61"/>
      <c r="E8" s="61"/>
      <c r="F8" s="61"/>
      <c r="G8" s="61"/>
      <c r="H8" s="61"/>
      <c r="I8" s="61"/>
      <c r="J8" s="61"/>
      <c r="K8" s="61"/>
    </row>
    <row r="9" spans="1:11">
      <c r="A9" s="62">
        <f t="shared" si="0"/>
        <v>46300</v>
      </c>
      <c r="B9" s="64"/>
      <c r="C9" s="61"/>
      <c r="D9" s="61"/>
      <c r="E9" s="61"/>
      <c r="F9" s="61"/>
      <c r="G9" s="61"/>
      <c r="H9" s="61"/>
      <c r="I9" s="61"/>
      <c r="J9" s="61"/>
      <c r="K9" s="61"/>
    </row>
    <row r="10" spans="1:11">
      <c r="A10" s="62">
        <f t="shared" si="0"/>
        <v>46307</v>
      </c>
      <c r="B10" s="64"/>
      <c r="C10" s="61"/>
      <c r="D10" s="61"/>
      <c r="E10" s="61"/>
      <c r="F10" s="61"/>
      <c r="G10" s="61"/>
      <c r="H10" s="61"/>
      <c r="I10" s="61"/>
      <c r="J10" s="61"/>
      <c r="K10" s="61"/>
    </row>
    <row r="11" spans="1:11">
      <c r="A11" s="62">
        <f t="shared" si="0"/>
        <v>46314</v>
      </c>
      <c r="B11" s="64"/>
      <c r="C11" s="61"/>
      <c r="D11" s="61"/>
      <c r="E11" s="61"/>
      <c r="F11" s="61"/>
      <c r="G11" s="61"/>
      <c r="H11" s="61"/>
      <c r="I11" s="61"/>
      <c r="J11" s="61"/>
      <c r="K11" s="61"/>
    </row>
    <row r="12" spans="1:11">
      <c r="A12" s="62">
        <f t="shared" si="0"/>
        <v>46321</v>
      </c>
      <c r="B12" s="64"/>
      <c r="C12" s="61"/>
      <c r="D12" s="61"/>
      <c r="E12" s="61"/>
      <c r="F12" s="61"/>
      <c r="G12" s="61"/>
      <c r="H12" s="61"/>
      <c r="I12" s="61"/>
      <c r="J12" s="61"/>
      <c r="K12" s="61"/>
    </row>
    <row r="13" spans="1:11">
      <c r="A13" s="62">
        <f t="shared" si="0"/>
        <v>46328</v>
      </c>
      <c r="B13" s="64"/>
      <c r="C13" s="61"/>
      <c r="D13" s="61"/>
      <c r="E13" s="61"/>
      <c r="F13" s="61"/>
      <c r="G13" s="61"/>
      <c r="H13" s="61"/>
      <c r="I13" s="61"/>
      <c r="J13" s="61"/>
      <c r="K13" s="61"/>
    </row>
    <row r="14" spans="1:11">
      <c r="A14" s="62">
        <f t="shared" si="0"/>
        <v>46335</v>
      </c>
      <c r="B14" s="64"/>
      <c r="C14" s="61"/>
      <c r="D14" s="61"/>
      <c r="E14" s="61"/>
      <c r="F14" s="61"/>
      <c r="G14" s="61"/>
      <c r="H14" s="61"/>
      <c r="I14" s="61"/>
      <c r="J14" s="61"/>
      <c r="K14" s="61"/>
    </row>
    <row r="15" spans="1:11">
      <c r="A15" s="62">
        <f t="shared" si="0"/>
        <v>46342</v>
      </c>
      <c r="B15" s="64"/>
      <c r="C15" s="61"/>
      <c r="D15" s="61"/>
      <c r="E15" s="61"/>
      <c r="F15" s="61"/>
      <c r="G15" s="61"/>
      <c r="H15" s="61"/>
      <c r="I15" s="61"/>
      <c r="J15" s="61"/>
      <c r="K15" s="61"/>
    </row>
    <row r="16" spans="1:11">
      <c r="A16" s="62">
        <f t="shared" si="0"/>
        <v>46349</v>
      </c>
      <c r="B16" s="64"/>
      <c r="C16" s="61"/>
      <c r="D16" s="61"/>
      <c r="E16" s="61"/>
      <c r="F16" s="61"/>
      <c r="G16" s="61"/>
      <c r="H16" s="61"/>
      <c r="I16" s="61"/>
      <c r="J16" s="61"/>
      <c r="K16" s="61"/>
    </row>
    <row r="17" spans="1:11">
      <c r="A17" s="62">
        <f t="shared" si="0"/>
        <v>46356</v>
      </c>
      <c r="B17" s="64"/>
      <c r="C17" s="61"/>
      <c r="D17" s="61"/>
      <c r="E17" s="61"/>
      <c r="F17" s="61"/>
      <c r="G17" s="61"/>
      <c r="H17" s="61"/>
      <c r="I17" s="61"/>
      <c r="J17" s="61"/>
      <c r="K17" s="61"/>
    </row>
    <row r="18" spans="1:11">
      <c r="A18" s="62">
        <f t="shared" si="0"/>
        <v>46363</v>
      </c>
      <c r="B18" s="64"/>
      <c r="C18" s="61"/>
      <c r="D18" s="61"/>
      <c r="E18" s="61"/>
      <c r="F18" s="61"/>
      <c r="G18" s="61"/>
      <c r="H18" s="61"/>
      <c r="I18" s="61"/>
      <c r="J18" s="61"/>
      <c r="K18" s="61"/>
    </row>
    <row r="19" spans="1:11">
      <c r="A19" s="62">
        <f t="shared" si="0"/>
        <v>46370</v>
      </c>
      <c r="B19" s="64"/>
      <c r="C19" s="61"/>
      <c r="D19" s="61"/>
      <c r="E19" s="61"/>
      <c r="F19" s="61"/>
      <c r="G19" s="61"/>
      <c r="H19" s="61"/>
      <c r="I19" s="61"/>
      <c r="J19" s="61"/>
      <c r="K19" s="6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Israel García Martínez</dc:creator>
  <cp:keywords/>
  <dc:description/>
  <cp:lastModifiedBy/>
  <cp:revision/>
  <dcterms:created xsi:type="dcterms:W3CDTF">2026-08-25T14:56:39Z</dcterms:created>
  <dcterms:modified xsi:type="dcterms:W3CDTF">2026-09-24T19:08:15Z</dcterms:modified>
  <cp:category/>
  <cp:contentStatus/>
</cp:coreProperties>
</file>